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Asus\OneDrive\Documents\Claude\Projects\RINCIAN SPD APP WEB\"/>
    </mc:Choice>
  </mc:AlternateContent>
  <xr:revisionPtr revIDLastSave="0" documentId="8_{7F6C6CE5-96F5-4EA9-951C-A2621FD73A1B}" xr6:coauthVersionLast="47" xr6:coauthVersionMax="47" xr10:uidLastSave="{00000000-0000-0000-0000-000000000000}"/>
  <bookViews>
    <workbookView xWindow="-108" yWindow="-108" windowWidth="23256" windowHeight="13176" firstSheet="1" activeTab="2" xr2:uid="{00000000-000D-0000-FFFF-FFFF00000000}"/>
  </bookViews>
  <sheets>
    <sheet name="MENU" sheetId="1" r:id="rId1"/>
    <sheet name="Isi Disini" sheetId="2" r:id="rId2"/>
    <sheet name="DPR PIC" sheetId="3" r:id="rId3"/>
    <sheet name="Nominatif" sheetId="4" r:id="rId4"/>
    <sheet name="1" sheetId="5" r:id="rId5"/>
    <sheet name="2" sheetId="6" r:id="rId6"/>
    <sheet name="3" sheetId="7" r:id="rId7"/>
    <sheet name="4" sheetId="8" r:id="rId8"/>
    <sheet name="5" sheetId="9" r:id="rId9"/>
    <sheet name="6" sheetId="10" r:id="rId10"/>
    <sheet name="7" sheetId="11" r:id="rId11"/>
    <sheet name="8" sheetId="12" r:id="rId12"/>
    <sheet name="9" sheetId="13" r:id="rId13"/>
    <sheet name="10" sheetId="14" r:id="rId14"/>
    <sheet name="DPR PIC (2)" sheetId="15" r:id="rId15"/>
    <sheet name="nama pegawai" sheetId="16" r:id="rId16"/>
  </sheets>
  <externalReferences>
    <externalReference r:id="rId17"/>
    <externalReference r:id="rId18"/>
    <externalReference r:id="rId19"/>
  </externalReferences>
  <definedNames>
    <definedName name="_xlnm.Print_Area" localSheetId="4">'1'!$A$2:$M$126</definedName>
    <definedName name="_xlnm.Print_Area" localSheetId="13">'10'!$A$1:$M$121</definedName>
    <definedName name="_xlnm.Print_Area" localSheetId="5">'2'!$A$2:$M$124</definedName>
    <definedName name="_xlnm.Print_Area" localSheetId="6">'3'!$A$2:$M$124</definedName>
    <definedName name="_xlnm.Print_Area" localSheetId="7">'4'!$A$2:$M$121</definedName>
    <definedName name="_xlnm.Print_Area" localSheetId="8">'5'!$A$1:$M$121</definedName>
    <definedName name="_xlnm.Print_Area" localSheetId="9">'6'!$A$1:$M$121</definedName>
    <definedName name="_xlnm.Print_Area" localSheetId="10">'7'!$A$1:$M$121</definedName>
    <definedName name="_xlnm.Print_Area" localSheetId="11">'8'!$A$1:$M$121</definedName>
    <definedName name="_xlnm.Print_Area" localSheetId="12">'9'!$A$1:$M$121</definedName>
    <definedName name="_xlnm.Print_Area" localSheetId="2">'DPR PIC'!$B$1:$N$52</definedName>
    <definedName name="_xlnm.Print_Area" localSheetId="14">'DPR PIC (2)'!$A$1:$M$49</definedName>
    <definedName name="_xlnm.Print_Area" localSheetId="1">'Isi Disini'!$B$1:$Y$16</definedName>
    <definedName name="_xlnm.Print_Area" localSheetId="3">Nominatif!$B$1:$T$28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2" i="14" l="1"/>
  <c r="J32" i="13"/>
  <c r="J32" i="12"/>
  <c r="J32" i="11"/>
  <c r="J32" i="10"/>
  <c r="J32" i="9"/>
  <c r="J32" i="8"/>
  <c r="J32" i="7"/>
  <c r="J32" i="6"/>
  <c r="J32" i="5"/>
  <c r="B32" i="5"/>
  <c r="B31" i="5"/>
  <c r="B32" i="6"/>
  <c r="B31" i="6"/>
  <c r="M35" i="2"/>
  <c r="L35" i="2"/>
  <c r="K33" i="2"/>
  <c r="K31" i="2"/>
  <c r="K29" i="2"/>
  <c r="K27" i="2"/>
  <c r="K25" i="2"/>
  <c r="K23" i="2"/>
  <c r="K17" i="2"/>
  <c r="K15" i="2"/>
  <c r="K13" i="2"/>
  <c r="K11" i="2"/>
  <c r="K9" i="2"/>
  <c r="J33" i="2"/>
  <c r="J31" i="2"/>
  <c r="J29" i="2"/>
  <c r="J27" i="2"/>
  <c r="J25" i="2"/>
  <c r="J23" i="2"/>
  <c r="J21" i="2"/>
  <c r="K21" i="2" s="1"/>
  <c r="J19" i="2"/>
  <c r="K19" i="2" s="1"/>
  <c r="J17" i="2"/>
  <c r="J15" i="2"/>
  <c r="J13" i="2"/>
  <c r="J11" i="2"/>
  <c r="U11" i="2" s="1"/>
  <c r="J9" i="2"/>
  <c r="C24" i="2"/>
  <c r="C26" i="2"/>
  <c r="C28" i="2"/>
  <c r="C30" i="2"/>
  <c r="C32" i="2"/>
  <c r="C14" i="2"/>
  <c r="C16" i="2"/>
  <c r="C18" i="2"/>
  <c r="C20" i="2"/>
  <c r="C22" i="2"/>
  <c r="J48" i="15"/>
  <c r="J47" i="15"/>
  <c r="J48" i="14"/>
  <c r="J47" i="14"/>
  <c r="J48" i="13"/>
  <c r="J47" i="13"/>
  <c r="J48" i="12"/>
  <c r="J47" i="12"/>
  <c r="J48" i="11"/>
  <c r="J47" i="11"/>
  <c r="J48" i="10"/>
  <c r="J47" i="10"/>
  <c r="J48" i="9"/>
  <c r="J47" i="9"/>
  <c r="J48" i="8"/>
  <c r="J47" i="8"/>
  <c r="J48" i="7"/>
  <c r="J47" i="7"/>
  <c r="J48" i="6"/>
  <c r="J47" i="6"/>
  <c r="J48" i="5"/>
  <c r="J47" i="5"/>
  <c r="Q26" i="4"/>
  <c r="W45" i="2"/>
  <c r="Q27" i="4" s="1"/>
  <c r="P9" i="2"/>
  <c r="P11" i="2"/>
  <c r="D27" i="4"/>
  <c r="D26" i="4"/>
  <c r="C52" i="3"/>
  <c r="N35" i="3" a="1"/>
  <c r="N35" i="3" s="1"/>
  <c r="E33" i="2"/>
  <c r="C34" i="2"/>
  <c r="E31" i="2"/>
  <c r="E29" i="2"/>
  <c r="E27" i="2"/>
  <c r="E25" i="2"/>
  <c r="E23" i="2"/>
  <c r="E21" i="2"/>
  <c r="E19" i="2"/>
  <c r="E17" i="2"/>
  <c r="E15" i="2"/>
  <c r="E13" i="2"/>
  <c r="E11" i="2"/>
  <c r="C12" i="2"/>
  <c r="E9" i="2"/>
  <c r="C10" i="2"/>
  <c r="J41" i="15" l="1"/>
  <c r="M32" i="15"/>
  <c r="J32" i="15"/>
  <c r="C29" i="15"/>
  <c r="M28" i="15"/>
  <c r="J28" i="15"/>
  <c r="D21" i="15"/>
  <c r="D20" i="15"/>
  <c r="D17" i="15"/>
  <c r="J43" i="15" s="1"/>
  <c r="D16" i="15"/>
  <c r="L49" i="15" s="1"/>
  <c r="D15" i="15"/>
  <c r="J115" i="14"/>
  <c r="C105" i="14"/>
  <c r="L70" i="14"/>
  <c r="I70" i="14"/>
  <c r="G70" i="14"/>
  <c r="F70" i="14"/>
  <c r="L67" i="14"/>
  <c r="L71" i="14" s="1"/>
  <c r="I67" i="14"/>
  <c r="G67" i="14"/>
  <c r="F67" i="14"/>
  <c r="F57" i="14"/>
  <c r="E102" i="14" s="1"/>
  <c r="F55" i="14"/>
  <c r="E100" i="14" s="1"/>
  <c r="K32" i="14"/>
  <c r="F56" i="14" s="1"/>
  <c r="E101" i="14" s="1"/>
  <c r="A21" i="14"/>
  <c r="K19" i="14"/>
  <c r="K18" i="14"/>
  <c r="K17" i="14"/>
  <c r="I16" i="14"/>
  <c r="G16" i="14"/>
  <c r="K16" i="14" s="1"/>
  <c r="I15" i="14"/>
  <c r="C15" i="14"/>
  <c r="I14" i="14"/>
  <c r="K13" i="14" s="1"/>
  <c r="C14" i="14"/>
  <c r="B11" i="14"/>
  <c r="C10" i="14"/>
  <c r="J31" i="14" s="1"/>
  <c r="B9" i="14"/>
  <c r="G6" i="14"/>
  <c r="C60" i="14" s="1"/>
  <c r="G5" i="14"/>
  <c r="J59" i="14" s="1"/>
  <c r="J115" i="13"/>
  <c r="C105" i="13"/>
  <c r="I70" i="13"/>
  <c r="G70" i="13"/>
  <c r="F70" i="13"/>
  <c r="L70" i="13" s="1"/>
  <c r="I67" i="13"/>
  <c r="G67" i="13"/>
  <c r="F67" i="13"/>
  <c r="L67" i="13" s="1"/>
  <c r="F57" i="13"/>
  <c r="E102" i="13" s="1"/>
  <c r="F55" i="13"/>
  <c r="E100" i="13" s="1"/>
  <c r="K32" i="13"/>
  <c r="J23" i="13"/>
  <c r="J77" i="13" s="1"/>
  <c r="A21" i="13"/>
  <c r="K19" i="13"/>
  <c r="K18" i="13"/>
  <c r="K17" i="13"/>
  <c r="I16" i="13"/>
  <c r="G16" i="13"/>
  <c r="K16" i="13" s="1"/>
  <c r="K20" i="13" s="1"/>
  <c r="I15" i="13"/>
  <c r="C15" i="13"/>
  <c r="I14" i="13"/>
  <c r="C14" i="13"/>
  <c r="K13" i="13"/>
  <c r="B11" i="13"/>
  <c r="C10" i="13"/>
  <c r="J31" i="13" s="1"/>
  <c r="B9" i="13"/>
  <c r="G6" i="13"/>
  <c r="C60" i="13" s="1"/>
  <c r="G5" i="13"/>
  <c r="J59" i="13" s="1"/>
  <c r="J115" i="12"/>
  <c r="C105" i="12"/>
  <c r="I70" i="12"/>
  <c r="G70" i="12"/>
  <c r="F70" i="12"/>
  <c r="L70" i="12" s="1"/>
  <c r="I67" i="12"/>
  <c r="G67" i="12"/>
  <c r="F67" i="12"/>
  <c r="L67" i="12" s="1"/>
  <c r="L71" i="12" s="1"/>
  <c r="C60" i="12"/>
  <c r="F57" i="12"/>
  <c r="E102" i="12" s="1"/>
  <c r="F55" i="12"/>
  <c r="E100" i="12" s="1"/>
  <c r="K32" i="12"/>
  <c r="F56" i="12" s="1"/>
  <c r="E101" i="12" s="1"/>
  <c r="A21" i="12"/>
  <c r="K19" i="12"/>
  <c r="K18" i="12"/>
  <c r="K17" i="12"/>
  <c r="I16" i="12"/>
  <c r="G16" i="12"/>
  <c r="K16" i="12" s="1"/>
  <c r="K20" i="12" s="1"/>
  <c r="I15" i="12"/>
  <c r="C15" i="12"/>
  <c r="I14" i="12"/>
  <c r="C14" i="12"/>
  <c r="K13" i="12"/>
  <c r="B11" i="12"/>
  <c r="C10" i="12"/>
  <c r="J31" i="12" s="1"/>
  <c r="J83" i="12" s="1"/>
  <c r="B9" i="12"/>
  <c r="G6" i="12"/>
  <c r="G5" i="12"/>
  <c r="J59" i="12" s="1"/>
  <c r="J120" i="11"/>
  <c r="J115" i="11"/>
  <c r="C105" i="11"/>
  <c r="J83" i="11"/>
  <c r="I70" i="11"/>
  <c r="G70" i="11"/>
  <c r="F70" i="11"/>
  <c r="L70" i="11" s="1"/>
  <c r="I67" i="11"/>
  <c r="G67" i="11"/>
  <c r="F67" i="11"/>
  <c r="L67" i="11" s="1"/>
  <c r="L71" i="11" s="1"/>
  <c r="C60" i="11"/>
  <c r="F57" i="11"/>
  <c r="E102" i="11" s="1"/>
  <c r="F55" i="11"/>
  <c r="E100" i="11" s="1"/>
  <c r="K32" i="11"/>
  <c r="J31" i="11"/>
  <c r="J23" i="11"/>
  <c r="J77" i="11" s="1"/>
  <c r="A21" i="11"/>
  <c r="K19" i="11"/>
  <c r="K18" i="11"/>
  <c r="K17" i="11"/>
  <c r="I16" i="11"/>
  <c r="G16" i="11"/>
  <c r="K16" i="11" s="1"/>
  <c r="K20" i="11" s="1"/>
  <c r="I15" i="11"/>
  <c r="C15" i="11"/>
  <c r="I14" i="11"/>
  <c r="C14" i="11"/>
  <c r="K13" i="11"/>
  <c r="B11" i="11"/>
  <c r="C10" i="11"/>
  <c r="B9" i="11"/>
  <c r="G6" i="11"/>
  <c r="G5" i="11"/>
  <c r="J59" i="11" s="1"/>
  <c r="J115" i="10"/>
  <c r="C105" i="10"/>
  <c r="I70" i="10"/>
  <c r="G70" i="10"/>
  <c r="F70" i="10"/>
  <c r="L70" i="10" s="1"/>
  <c r="I67" i="10"/>
  <c r="G67" i="10"/>
  <c r="F67" i="10"/>
  <c r="L67" i="10" s="1"/>
  <c r="F57" i="10"/>
  <c r="E102" i="10" s="1"/>
  <c r="K32" i="10"/>
  <c r="F56" i="10" s="1"/>
  <c r="E101" i="10" s="1"/>
  <c r="A21" i="10"/>
  <c r="K19" i="10"/>
  <c r="K18" i="10"/>
  <c r="K17" i="10"/>
  <c r="I16" i="10"/>
  <c r="G16" i="10"/>
  <c r="K16" i="10" s="1"/>
  <c r="I15" i="10"/>
  <c r="C15" i="10"/>
  <c r="I14" i="10"/>
  <c r="C14" i="10"/>
  <c r="K13" i="10"/>
  <c r="N13" i="10" s="1"/>
  <c r="B11" i="10"/>
  <c r="C10" i="10"/>
  <c r="F55" i="10" s="1"/>
  <c r="E100" i="10" s="1"/>
  <c r="B9" i="10"/>
  <c r="G6" i="10"/>
  <c r="C60" i="10" s="1"/>
  <c r="G5" i="10"/>
  <c r="J59" i="10" s="1"/>
  <c r="J115" i="9"/>
  <c r="C105" i="9"/>
  <c r="I70" i="9"/>
  <c r="G70" i="9"/>
  <c r="F70" i="9"/>
  <c r="L70" i="9" s="1"/>
  <c r="I67" i="9"/>
  <c r="G67" i="9"/>
  <c r="F67" i="9"/>
  <c r="L67" i="9" s="1"/>
  <c r="J59" i="9"/>
  <c r="F57" i="9"/>
  <c r="E102" i="9" s="1"/>
  <c r="K32" i="9"/>
  <c r="K84" i="9" s="1"/>
  <c r="A21" i="9"/>
  <c r="K19" i="9"/>
  <c r="K18" i="9"/>
  <c r="K17" i="9"/>
  <c r="I16" i="9"/>
  <c r="K16" i="9" s="1"/>
  <c r="G16" i="9"/>
  <c r="I15" i="9"/>
  <c r="C15" i="9"/>
  <c r="I14" i="9"/>
  <c r="C14" i="9"/>
  <c r="K13" i="9"/>
  <c r="K20" i="9" s="1"/>
  <c r="J25" i="9" s="1"/>
  <c r="B11" i="9"/>
  <c r="C10" i="9"/>
  <c r="B9" i="9"/>
  <c r="G6" i="9"/>
  <c r="C60" i="9" s="1"/>
  <c r="G5" i="9"/>
  <c r="J115" i="8"/>
  <c r="C105" i="8"/>
  <c r="I70" i="8"/>
  <c r="G70" i="8"/>
  <c r="F70" i="8"/>
  <c r="I67" i="8"/>
  <c r="G67" i="8"/>
  <c r="F67" i="8"/>
  <c r="F57" i="8"/>
  <c r="E102" i="8" s="1"/>
  <c r="K32" i="8"/>
  <c r="K84" i="8" s="1"/>
  <c r="I16" i="8"/>
  <c r="G16" i="8"/>
  <c r="K16" i="8" s="1"/>
  <c r="C15" i="8"/>
  <c r="C14" i="8"/>
  <c r="B11" i="8"/>
  <c r="B9" i="8"/>
  <c r="G6" i="8"/>
  <c r="C60" i="8" s="1"/>
  <c r="G5" i="8"/>
  <c r="J59" i="8" s="1"/>
  <c r="J118" i="7"/>
  <c r="C105" i="7"/>
  <c r="E100" i="7"/>
  <c r="I70" i="7"/>
  <c r="G70" i="7"/>
  <c r="F70" i="7"/>
  <c r="L70" i="7" s="1"/>
  <c r="I67" i="7"/>
  <c r="G67" i="7"/>
  <c r="F67" i="7"/>
  <c r="L67" i="7" s="1"/>
  <c r="J59" i="7"/>
  <c r="F57" i="7"/>
  <c r="E102" i="7" s="1"/>
  <c r="F55" i="7"/>
  <c r="K32" i="7"/>
  <c r="K124" i="7" s="1"/>
  <c r="J31" i="7"/>
  <c r="J123" i="7" s="1"/>
  <c r="I16" i="7"/>
  <c r="G16" i="7"/>
  <c r="K16" i="7" s="1"/>
  <c r="C15" i="7"/>
  <c r="C14" i="7"/>
  <c r="B11" i="7"/>
  <c r="B9" i="7"/>
  <c r="G6" i="7"/>
  <c r="C60" i="7" s="1"/>
  <c r="G5" i="7"/>
  <c r="J118" i="6"/>
  <c r="C105" i="6"/>
  <c r="I70" i="6"/>
  <c r="G70" i="6"/>
  <c r="F70" i="6"/>
  <c r="L70" i="6" s="1"/>
  <c r="I67" i="6"/>
  <c r="G67" i="6"/>
  <c r="F67" i="6"/>
  <c r="L67" i="6" s="1"/>
  <c r="F57" i="6"/>
  <c r="E102" i="6" s="1"/>
  <c r="F56" i="6"/>
  <c r="E101" i="6" s="1"/>
  <c r="K19" i="6"/>
  <c r="I16" i="6"/>
  <c r="G16" i="6"/>
  <c r="K16" i="6" s="1"/>
  <c r="C15" i="6"/>
  <c r="I14" i="6"/>
  <c r="C14" i="6"/>
  <c r="B11" i="6"/>
  <c r="B9" i="6"/>
  <c r="G6" i="6"/>
  <c r="C60" i="6" s="1"/>
  <c r="G5" i="6"/>
  <c r="J59" i="6" s="1"/>
  <c r="J120" i="5"/>
  <c r="C107" i="5"/>
  <c r="L72" i="5"/>
  <c r="G72" i="5" a="1"/>
  <c r="G72" i="5" s="1"/>
  <c r="I70" i="5"/>
  <c r="G70" i="5"/>
  <c r="F70" i="5"/>
  <c r="L70" i="5" s="1"/>
  <c r="I67" i="5"/>
  <c r="G67" i="5"/>
  <c r="F67" i="5"/>
  <c r="J59" i="5"/>
  <c r="F57" i="5"/>
  <c r="E104" i="5" s="1"/>
  <c r="I16" i="5"/>
  <c r="G16" i="5"/>
  <c r="I15" i="5"/>
  <c r="C15" i="5"/>
  <c r="C14" i="5"/>
  <c r="B11" i="5"/>
  <c r="B9" i="5"/>
  <c r="G6" i="5"/>
  <c r="C60" i="5" s="1"/>
  <c r="G5" i="5"/>
  <c r="Q19" i="4"/>
  <c r="J23" i="9" s="1"/>
  <c r="J77" i="9" s="1"/>
  <c r="C16" i="4"/>
  <c r="Q15" i="4"/>
  <c r="N15" i="4"/>
  <c r="K19" i="8" s="1"/>
  <c r="M15" i="4"/>
  <c r="K18" i="8" s="1"/>
  <c r="L15" i="4"/>
  <c r="I15" i="4"/>
  <c r="H15" i="4"/>
  <c r="G15" i="4"/>
  <c r="F15" i="4"/>
  <c r="E15" i="4"/>
  <c r="D15" i="4"/>
  <c r="C15" i="4"/>
  <c r="C10" i="8" s="1"/>
  <c r="F55" i="8" s="1"/>
  <c r="E100" i="8" s="1"/>
  <c r="C14" i="4"/>
  <c r="Q13" i="4"/>
  <c r="N13" i="4"/>
  <c r="K19" i="7" s="1"/>
  <c r="M13" i="4"/>
  <c r="L13" i="4"/>
  <c r="K18" i="7" s="1"/>
  <c r="J13" i="4"/>
  <c r="H13" i="4"/>
  <c r="G13" i="4"/>
  <c r="F13" i="4"/>
  <c r="E13" i="4"/>
  <c r="D13" i="4"/>
  <c r="C13" i="4"/>
  <c r="C12" i="4"/>
  <c r="Q11" i="4"/>
  <c r="N11" i="4"/>
  <c r="M11" i="4"/>
  <c r="L11" i="4"/>
  <c r="I11" i="4"/>
  <c r="H11" i="4"/>
  <c r="G11" i="4"/>
  <c r="F11" i="4"/>
  <c r="E11" i="4"/>
  <c r="D11" i="4"/>
  <c r="C11" i="4"/>
  <c r="C10" i="6" s="1"/>
  <c r="C10" i="4"/>
  <c r="Q9" i="4"/>
  <c r="N9" i="4"/>
  <c r="M9" i="4"/>
  <c r="L9" i="4"/>
  <c r="K18" i="5" s="1"/>
  <c r="J9" i="4"/>
  <c r="H9" i="4"/>
  <c r="G9" i="4"/>
  <c r="F9" i="4"/>
  <c r="E9" i="4"/>
  <c r="D9" i="4"/>
  <c r="C9" i="4"/>
  <c r="C10" i="5" s="1"/>
  <c r="N3" i="4"/>
  <c r="J3" i="4"/>
  <c r="B2" i="4"/>
  <c r="B1" i="4"/>
  <c r="K44" i="3"/>
  <c r="M32" i="3"/>
  <c r="J30" i="3"/>
  <c r="D29" i="3"/>
  <c r="N28" i="3"/>
  <c r="K28" i="3"/>
  <c r="K35" i="3" s="1"/>
  <c r="E21" i="3"/>
  <c r="E20" i="3"/>
  <c r="E17" i="3"/>
  <c r="K46" i="3" s="1"/>
  <c r="E16" i="3"/>
  <c r="M52" i="3" s="1"/>
  <c r="E15" i="3"/>
  <c r="K51" i="3" s="1"/>
  <c r="W35" i="2"/>
  <c r="T35" i="2"/>
  <c r="S35" i="2"/>
  <c r="R35" i="2"/>
  <c r="U33" i="2"/>
  <c r="Q33" i="2"/>
  <c r="U31" i="2"/>
  <c r="X31" i="2" s="1"/>
  <c r="Q31" i="2"/>
  <c r="U29" i="2"/>
  <c r="X29" i="2" s="1"/>
  <c r="Q29" i="2"/>
  <c r="U27" i="2"/>
  <c r="Q27" i="2"/>
  <c r="X25" i="2"/>
  <c r="U25" i="2"/>
  <c r="Q25" i="2"/>
  <c r="U23" i="2"/>
  <c r="X23" i="2" s="1"/>
  <c r="Q23" i="2"/>
  <c r="U21" i="2"/>
  <c r="Q21" i="2"/>
  <c r="U19" i="2"/>
  <c r="Q19" i="2"/>
  <c r="U17" i="2"/>
  <c r="V15" i="2"/>
  <c r="P15" i="4" s="1"/>
  <c r="K17" i="8" s="1"/>
  <c r="U15" i="2"/>
  <c r="P15" i="2"/>
  <c r="N15" i="2"/>
  <c r="I14" i="8" s="1"/>
  <c r="V13" i="2"/>
  <c r="V35" i="2" s="1"/>
  <c r="U13" i="2"/>
  <c r="O15" i="4" s="1"/>
  <c r="Q13" i="2"/>
  <c r="K13" i="4" s="1"/>
  <c r="K13" i="7" s="1"/>
  <c r="P13" i="2"/>
  <c r="I15" i="7" s="1"/>
  <c r="N13" i="2"/>
  <c r="V11" i="2"/>
  <c r="P11" i="4" s="1"/>
  <c r="K17" i="6" s="1"/>
  <c r="O13" i="4"/>
  <c r="N11" i="2"/>
  <c r="V9" i="2"/>
  <c r="P9" i="4" s="1"/>
  <c r="U9" i="2"/>
  <c r="O9" i="4" s="1"/>
  <c r="Q9" i="2"/>
  <c r="N9" i="2"/>
  <c r="I14" i="5" s="1"/>
  <c r="L71" i="9" l="1"/>
  <c r="L71" i="7"/>
  <c r="I13" i="5"/>
  <c r="J31" i="8"/>
  <c r="J120" i="8" s="1"/>
  <c r="F55" i="5"/>
  <c r="E102" i="5" s="1"/>
  <c r="J31" i="5"/>
  <c r="J85" i="5" s="1"/>
  <c r="F56" i="9"/>
  <c r="E101" i="9" s="1"/>
  <c r="K121" i="9"/>
  <c r="K121" i="8"/>
  <c r="F56" i="8"/>
  <c r="E101" i="8" s="1"/>
  <c r="F56" i="7"/>
  <c r="E101" i="7" s="1"/>
  <c r="F56" i="5"/>
  <c r="E103" i="5" s="1"/>
  <c r="L71" i="10"/>
  <c r="K20" i="14"/>
  <c r="H37" i="14" s="1"/>
  <c r="L71" i="6"/>
  <c r="X33" i="2"/>
  <c r="L71" i="13"/>
  <c r="O11" i="4"/>
  <c r="O17" i="4" s="1"/>
  <c r="K17" i="5"/>
  <c r="H37" i="12"/>
  <c r="B25" i="12"/>
  <c r="H38" i="12" s="1"/>
  <c r="J25" i="12"/>
  <c r="F55" i="6"/>
  <c r="E100" i="6" s="1"/>
  <c r="J31" i="6"/>
  <c r="K19" i="5"/>
  <c r="N17" i="4"/>
  <c r="J83" i="8"/>
  <c r="J11" i="4"/>
  <c r="Q11" i="2"/>
  <c r="K11" i="4" s="1"/>
  <c r="I15" i="6"/>
  <c r="M17" i="4"/>
  <c r="L17" i="4"/>
  <c r="H37" i="9"/>
  <c r="K20" i="10"/>
  <c r="K121" i="13"/>
  <c r="F56" i="13"/>
  <c r="E101" i="13" s="1"/>
  <c r="K84" i="13"/>
  <c r="F55" i="9"/>
  <c r="E100" i="9" s="1"/>
  <c r="J31" i="9"/>
  <c r="J25" i="11"/>
  <c r="H37" i="11"/>
  <c r="B25" i="11"/>
  <c r="H38" i="11" s="1"/>
  <c r="K121" i="11"/>
  <c r="F56" i="11"/>
  <c r="E101" i="11" s="1"/>
  <c r="J25" i="13"/>
  <c r="H37" i="13"/>
  <c r="B25" i="13"/>
  <c r="H38" i="13" s="1"/>
  <c r="X27" i="2"/>
  <c r="X35" i="2" s="1"/>
  <c r="K18" i="6"/>
  <c r="P13" i="4"/>
  <c r="K17" i="7" s="1"/>
  <c r="K20" i="7" s="1"/>
  <c r="K16" i="5"/>
  <c r="L67" i="5"/>
  <c r="L73" i="5" s="1"/>
  <c r="L70" i="8"/>
  <c r="B25" i="9"/>
  <c r="H38" i="9" s="1"/>
  <c r="K84" i="11"/>
  <c r="J120" i="12"/>
  <c r="J83" i="13"/>
  <c r="J120" i="13"/>
  <c r="J83" i="14"/>
  <c r="J120" i="14"/>
  <c r="I15" i="8"/>
  <c r="J15" i="4"/>
  <c r="I13" i="4"/>
  <c r="I14" i="7"/>
  <c r="L67" i="8"/>
  <c r="L71" i="8" s="1"/>
  <c r="Q15" i="2"/>
  <c r="K15" i="4" s="1"/>
  <c r="I9" i="4"/>
  <c r="K9" i="4" s="1"/>
  <c r="J23" i="5"/>
  <c r="J23" i="8"/>
  <c r="J77" i="8" s="1"/>
  <c r="J31" i="10"/>
  <c r="K121" i="10"/>
  <c r="K121" i="12"/>
  <c r="K121" i="14"/>
  <c r="J23" i="6"/>
  <c r="K84" i="6"/>
  <c r="K124" i="6"/>
  <c r="J83" i="7"/>
  <c r="J23" i="10"/>
  <c r="J77" i="10" s="1"/>
  <c r="K84" i="10"/>
  <c r="J23" i="12"/>
  <c r="J77" i="12" s="1"/>
  <c r="K84" i="12"/>
  <c r="J23" i="14"/>
  <c r="J77" i="14" s="1"/>
  <c r="K84" i="14"/>
  <c r="U35" i="2"/>
  <c r="J23" i="7"/>
  <c r="K84" i="7"/>
  <c r="J25" i="14" l="1"/>
  <c r="B25" i="14"/>
  <c r="H38" i="14" s="1"/>
  <c r="J125" i="5"/>
  <c r="H39" i="13"/>
  <c r="J25" i="7"/>
  <c r="B25" i="7"/>
  <c r="H38" i="7" s="1"/>
  <c r="H37" i="7"/>
  <c r="J77" i="7"/>
  <c r="J117" i="7"/>
  <c r="R11" i="4"/>
  <c r="K13" i="6"/>
  <c r="K20" i="6" s="1"/>
  <c r="J79" i="5"/>
  <c r="J119" i="5"/>
  <c r="R13" i="4"/>
  <c r="H39" i="12"/>
  <c r="I17" i="4"/>
  <c r="K13" i="5"/>
  <c r="K20" i="5" s="1"/>
  <c r="R9" i="4"/>
  <c r="J123" i="6"/>
  <c r="J83" i="6"/>
  <c r="H39" i="14"/>
  <c r="P17" i="4"/>
  <c r="H37" i="10"/>
  <c r="B25" i="10"/>
  <c r="H38" i="10" s="1"/>
  <c r="J25" i="10"/>
  <c r="H39" i="11"/>
  <c r="H39" i="9"/>
  <c r="J117" i="6"/>
  <c r="J77" i="6"/>
  <c r="J83" i="10"/>
  <c r="J120" i="10"/>
  <c r="K13" i="8"/>
  <c r="K20" i="8" s="1"/>
  <c r="R15" i="4"/>
  <c r="J83" i="9"/>
  <c r="J120" i="9"/>
  <c r="H39" i="7" l="1"/>
  <c r="H39" i="10"/>
  <c r="H37" i="6"/>
  <c r="B25" i="6"/>
  <c r="H38" i="6" s="1"/>
  <c r="J25" i="6"/>
  <c r="R17" i="4"/>
  <c r="J25" i="8"/>
  <c r="H37" i="8"/>
  <c r="B25" i="8"/>
  <c r="H38" i="8" s="1"/>
  <c r="J25" i="5"/>
  <c r="H37" i="5"/>
  <c r="B25" i="5"/>
  <c r="H38" i="5" s="1"/>
  <c r="H39" i="5" l="1"/>
  <c r="H39" i="8"/>
  <c r="H3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<sst xmlns="http://schemas.openxmlformats.org/spreadsheetml/2006/main" count="1763" uniqueCount="430">
  <si>
    <t>KEMENTERIAN IMIGRASI DAN PEMASYARAKATAN</t>
  </si>
  <si>
    <t>MENU NAVIGASI — DOKUMEN PERJALANAN DINAS</t>
  </si>
  <si>
    <t>SPT No: WIM.16.IMI.1-TI.04.01-2438   |   Tanggal: 5 Mei 2026</t>
  </si>
  <si>
    <t>NAMA DOKUMEN / SHEET</t>
  </si>
  <si>
    <t>KETERANGAN</t>
  </si>
  <si>
    <t>Isi Disini</t>
  </si>
  <si>
    <t>Form Input Data Utama</t>
  </si>
  <si>
    <t>DPR PIC</t>
  </si>
  <si>
    <t>Daftar Perjalanan Dinas - PIC</t>
  </si>
  <si>
    <t>Nominatif</t>
  </si>
  <si>
    <t>Daftar Nominatif Pembayaran</t>
  </si>
  <si>
    <t>Pegawai 1</t>
  </si>
  <si>
    <t>Dokumen Perjalanan Dinas No. 1</t>
  </si>
  <si>
    <t>Pegawai 2</t>
  </si>
  <si>
    <t>Dokumen Perjalanan Dinas No. 2</t>
  </si>
  <si>
    <t>Pegawai 3</t>
  </si>
  <si>
    <t>Dokumen Perjalanan Dinas No. 3</t>
  </si>
  <si>
    <t>Pegawai 4</t>
  </si>
  <si>
    <t>Dokumen Perjalanan Dinas No. 4</t>
  </si>
  <si>
    <t>Pegawai 5</t>
  </si>
  <si>
    <t>Dokumen Perjalanan Dinas No. 5</t>
  </si>
  <si>
    <t>Pegawai 6</t>
  </si>
  <si>
    <t>Dokumen Perjalanan Dinas No. 6</t>
  </si>
  <si>
    <t>Pegawai 7</t>
  </si>
  <si>
    <t>Dokumen Perjalanan Dinas No. 7</t>
  </si>
  <si>
    <t>Pegawai 8</t>
  </si>
  <si>
    <t>Dokumen Perjalanan Dinas No. 8</t>
  </si>
  <si>
    <t>Pegawai 9</t>
  </si>
  <si>
    <t>Dokumen Perjalanan Dinas No. 9</t>
  </si>
  <si>
    <t>Pegawai 10</t>
  </si>
  <si>
    <t>Dokumen Perjalanan Dinas No. 10</t>
  </si>
  <si>
    <t>DPR PIC (2)</t>
  </si>
  <si>
    <t>Daftar Perjalanan Dinas - PIC (Salinan)</t>
  </si>
  <si>
    <t>Klik nama sheet untuk berpindah halaman</t>
  </si>
  <si>
    <t>&lt;&lt; MENU</t>
  </si>
  <si>
    <t>DAFTAR NOMINATIF PEMBAYARAN PERJALANAN DINAS</t>
  </si>
  <si>
    <t>MELAKUKAN KEGIATAN KOORDINASI TERKAIT CONTACT CENTRE DAN PENANGANAN PENGADUAN PADA KANTOR IMIGRASI KELAS I TPI PONTIANAK KE DIREKTORAT JENDERAL IMIGRASI JAKARTA</t>
  </si>
  <si>
    <t xml:space="preserve">SESUAI SURAT PERINTAH TUGAS NO : </t>
  </si>
  <si>
    <t>WIM.16.IMI.1-TI.04.01- 2438</t>
  </si>
  <si>
    <t>TANGGAL</t>
  </si>
  <si>
    <t>5 Mei 2026</t>
  </si>
  <si>
    <t>Pengelolaan Teknologi Informasi Keimigrasian</t>
  </si>
  <si>
    <t>Tanggal 6 sd 8 Mei 2026</t>
  </si>
  <si>
    <t>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t>
  </si>
  <si>
    <t>No.</t>
  </si>
  <si>
    <t>Nama</t>
  </si>
  <si>
    <t>Gol</t>
  </si>
  <si>
    <t>Jabatan</t>
  </si>
  <si>
    <t>Tujuan</t>
  </si>
  <si>
    <t>No SPD</t>
  </si>
  <si>
    <t>Tanggal SPD</t>
  </si>
  <si>
    <t>Tanggal Kegiatan</t>
  </si>
  <si>
    <t>Lama Perjalanan Dinas</t>
  </si>
  <si>
    <t>Biaya Perjalanan Dinas</t>
  </si>
  <si>
    <t>Rekening</t>
  </si>
  <si>
    <t>Tandatangan</t>
  </si>
  <si>
    <t>Uang Harian</t>
  </si>
  <si>
    <t>Tiket PP</t>
  </si>
  <si>
    <t xml:space="preserve">Taksi </t>
  </si>
  <si>
    <t>Taksi Daerah</t>
  </si>
  <si>
    <t>Transport antar kab/kota</t>
  </si>
  <si>
    <t>Biaya Penginapan</t>
  </si>
  <si>
    <t>Uang Representasi</t>
  </si>
  <si>
    <t>Jumlah</t>
  </si>
  <si>
    <t>Pergi</t>
  </si>
  <si>
    <t>Pulang</t>
  </si>
  <si>
    <t>III</t>
  </si>
  <si>
    <t>Jakarta</t>
  </si>
  <si>
    <t>WIM.16.IMI.1-KU.03.01-2439</t>
  </si>
  <si>
    <t>Batik Air (PNK - CGK)</t>
  </si>
  <si>
    <t>BPG 042 655216928301000</t>
  </si>
  <si>
    <t>WIM.16.IMI.1-KU.03.01-2440</t>
  </si>
  <si>
    <t>Citilink (CGK - PNK)</t>
  </si>
  <si>
    <t>WAWAN LASMAWAN</t>
  </si>
  <si>
    <t>II</t>
  </si>
  <si>
    <t>WIM.16.IMI.1-KU.03.01-2441</t>
  </si>
  <si>
    <t>WIM.16.IMI.1-KU.03.01-2442</t>
  </si>
  <si>
    <t xml:space="preserve">  </t>
  </si>
  <si>
    <t>WIM.16.IMI.1-KU.03.01-2178</t>
  </si>
  <si>
    <t>Super Air Jet (PNK - CGK)</t>
  </si>
  <si>
    <t>-</t>
  </si>
  <si>
    <t>Kubu Raya</t>
  </si>
  <si>
    <t>WIM.16.IMI.1-KU.03.01-1282</t>
  </si>
  <si>
    <t>WIM.16.IMI.1-KU.03.01-1046</t>
  </si>
  <si>
    <t>Entikong</t>
  </si>
  <si>
    <t>W.16.IMI.IMI-6.KU.03.01-1638</t>
  </si>
  <si>
    <t>TOTAL</t>
  </si>
  <si>
    <t>Pontianak,</t>
  </si>
  <si>
    <t xml:space="preserve"> </t>
  </si>
  <si>
    <t>Bendahara Pengeluaran</t>
  </si>
  <si>
    <t>f</t>
  </si>
  <si>
    <t xml:space="preserve">HARDIAN RAMADHANA S  </t>
  </si>
  <si>
    <t>KEMENTERIAN IMIGRASI DAN PEMASYARAKATAN REPUBLIK INDONESIA</t>
  </si>
  <si>
    <t>DIREKTORAT JENDERAL IMIGRASI</t>
  </si>
  <si>
    <t>KANTOR WILAYAH KALIMANTAN BARAT</t>
  </si>
  <si>
    <t>KANTOR IMIGRASI KELAS I TPI PONTIANAK</t>
  </si>
  <si>
    <t>Jalan Letjen. Sutoyo No. 122 Pontianak 78121</t>
  </si>
  <si>
    <t>Laman : www.pontianak.imigrasi.go.id; Surel : keuangan.kanimptk@gmail.com</t>
  </si>
  <si>
    <t>DAFTAR PENGELUARAN RILL</t>
  </si>
  <si>
    <t>OPERASI INTELIJEN DI WILAYAH</t>
  </si>
  <si>
    <t>PENGUMPULAN DATA DAN INFORMASI</t>
  </si>
  <si>
    <t xml:space="preserve"> BELANJA BARANG NON OPERASIONAL LAINNYA</t>
  </si>
  <si>
    <t>(6161.BHB.U12.051.A.521219)</t>
  </si>
  <si>
    <t>Yang bertandatangan dibawah ini :</t>
  </si>
  <si>
    <t>NAMA</t>
  </si>
  <si>
    <t>:</t>
  </si>
  <si>
    <t>NIP</t>
  </si>
  <si>
    <t>JABATAN</t>
  </si>
  <si>
    <t>Berdasarkan Surat Perintah</t>
  </si>
  <si>
    <t>01 NOVEMBER 2024</t>
  </si>
  <si>
    <t>Tanggal</t>
  </si>
  <si>
    <t>W.16.IMI.IMI.1-GR.01.08-4915</t>
  </si>
  <si>
    <t>Nomor</t>
  </si>
  <si>
    <t>dengan ini menyatakan dengan sesungguhnya bahwa:</t>
  </si>
  <si>
    <t>1.</t>
  </si>
  <si>
    <t>Biaya belanja barang non operasional lainnya pengeluarannya, meliputi :</t>
  </si>
  <si>
    <t>No</t>
  </si>
  <si>
    <t>RINCIAN BIAYA</t>
  </si>
  <si>
    <t>JUMLAH</t>
  </si>
  <si>
    <t>KET.</t>
  </si>
  <si>
    <t>Biaya Uang Harian untuk 2 (dua) orang petugas selama</t>
  </si>
  <si>
    <t>Biaya Uang Harian untuk 4 (empat) orang petugas selama</t>
  </si>
  <si>
    <t>01</t>
  </si>
  <si>
    <t>Biaya Uang Harian untuk 5 (lima) orang petugas selama</t>
  </si>
  <si>
    <t>Biaya Persiapan Pemeriksaan di Muara Jungkat, Kab. Mempawah</t>
  </si>
  <si>
    <t>Biaya Uang Harian untuk 3 (tiga) orang petugas selama</t>
  </si>
  <si>
    <t>3 (tiga) hari pada</t>
  </si>
  <si>
    <t>Org</t>
  </si>
  <si>
    <t>X</t>
  </si>
  <si>
    <t>Hari</t>
  </si>
  <si>
    <t>Biaya Uang Harian untuk 6 (enam) orang petugas selama</t>
  </si>
  <si>
    <t>02</t>
  </si>
  <si>
    <t>Biaya Informan 1 (satu) orang</t>
  </si>
  <si>
    <t>Rp</t>
  </si>
  <si>
    <t>x</t>
  </si>
  <si>
    <t>Keg</t>
  </si>
  <si>
    <t>NIK SEWA RUMAH</t>
  </si>
  <si>
    <t>6171011012630007</t>
  </si>
  <si>
    <t>Biaya Persiapan Pemeriksaan di Pelabuhan Kijing, Kabupaten Mempawah</t>
  </si>
  <si>
    <t>Biaya  Sewa Transportasi Dalam Rangka Operasi</t>
  </si>
  <si>
    <t>2.</t>
  </si>
  <si>
    <t>Jumlah uang tersebut pada angka 1 di atas benar-benar dikeluarkan untuk pelaksanaan kegiatan dimaksud</t>
  </si>
  <si>
    <t>dan apabila di kemudian hari terdapat kelebihan atas pembayaran, kami bersedia untuk menyetorkan kelebihan</t>
  </si>
  <si>
    <t>Biaya Pengamatan/Penyusupan/ Penyurupan/Penelitian/Penjejakan</t>
  </si>
  <si>
    <t>tersebut ke Kas Negara.</t>
  </si>
  <si>
    <t>Demikian pernyataan ini kami buat dengan sebenarnya, untuk dipergunakan sebagaimana mestinya.</t>
  </si>
  <si>
    <t>Mengetahui,</t>
  </si>
  <si>
    <t>Penerima,</t>
  </si>
  <si>
    <t>PEJABAT PEMBUAT KOMITMEN</t>
  </si>
  <si>
    <t>SAM FERNANDO</t>
  </si>
  <si>
    <t>NIP. 198202092000121001</t>
  </si>
  <si>
    <t>NIP.</t>
  </si>
  <si>
    <t>SESUAI SURAT PERINTAH TUGAS NO :</t>
  </si>
  <si>
    <t>Pejabat Pembuat Komitmen</t>
  </si>
  <si>
    <t>SULISTYO</t>
  </si>
  <si>
    <t>LAMPIRAN II
PERATURAN MENTERI KEUANGAN REPUBLIK INDONESIA
NOMOR 113/PMK.05/2012 
TENTANG 
PERJALANAN DINAS JABATAN DALAM NEGERI BAGI PEJABAT
NEGARA, PEGAWAI NEGERI, DAN PEGAWAI TIDAK TETAP</t>
  </si>
  <si>
    <t>RINCIAN BIAYA PERJALANAN DINAS</t>
  </si>
  <si>
    <t>Lampiran SPD Nomor</t>
  </si>
  <si>
    <t>NO</t>
  </si>
  <si>
    <t>PERINCIAN BIAYA</t>
  </si>
  <si>
    <t>JUMLAH (Rp)</t>
  </si>
  <si>
    <t>An.</t>
  </si>
  <si>
    <t>Belanja Perjalanan Biasa</t>
  </si>
  <si>
    <t>Tiket Pesawat</t>
  </si>
  <si>
    <t>SBM 2.781.000</t>
  </si>
  <si>
    <t>Bukti Terlampir</t>
  </si>
  <si>
    <t>Tidak Ada Bukti</t>
  </si>
  <si>
    <t>Penginapan</t>
  </si>
  <si>
    <t>Taksi</t>
  </si>
  <si>
    <t>Transportasi Kegiatan Dalam Kab/Kota</t>
  </si>
  <si>
    <t>Empat Juta Sembilan Ratus Empat Puluh Enam Ribu Empat Ratus Enam Puluh Tiga Rupiah</t>
  </si>
  <si>
    <t>Telah Dibayar Sejumlah</t>
  </si>
  <si>
    <t>Telah menerima jumlah uang sebesar</t>
  </si>
  <si>
    <t>Yang Menerima</t>
  </si>
  <si>
    <t xml:space="preserve">NIP. </t>
  </si>
  <si>
    <t>197505302001121002</t>
  </si>
  <si>
    <t>PERHITUNGAN SPD RAMPUNG</t>
  </si>
  <si>
    <t>Ditetapkan sejumlah</t>
  </si>
  <si>
    <t>Yang telah dibayar sejumlah</t>
  </si>
  <si>
    <t>Sisa Kurang / lebih</t>
  </si>
  <si>
    <t>Pejabat Pembuat Komitmen,</t>
  </si>
  <si>
    <t>198202092000121001</t>
  </si>
  <si>
    <t>Yang bertanda tangan di bawah ini :</t>
  </si>
  <si>
    <t>Berdasarkan Surat Perjalanan Dinas (SPD) Nomor :</t>
  </si>
  <si>
    <t>tanggal</t>
  </si>
  <si>
    <t>dengan ini kami menyatakan dengan sesungguhnya bahwa:</t>
  </si>
  <si>
    <t>Biaya di bawah ini tidak dapat diperoleh bukti-bukti pengeluarannya, meliputi:</t>
  </si>
  <si>
    <t>Uraian</t>
  </si>
  <si>
    <t>Uang Harian Perjalanan Dinas</t>
  </si>
  <si>
    <t>Transport Dalam Kota/Kabupaten</t>
  </si>
  <si>
    <t>Penginapan 30%</t>
  </si>
  <si>
    <t>Jumlah uang tersebut pada angka 1 di atas benar-benar dikeluarkan untuk pelaksanaan perjalanan dinas dimaksud dan apabila di kemudian hari terdapat kelebihan pembayaran, kami bersedia untuk menyetorkan kelebihan tersebut ke Kas Negara.</t>
  </si>
  <si>
    <t>Yang Melakukan Perjalanan Dinas,</t>
  </si>
  <si>
    <t>SURAT PERNYATAAN TANGGUNG JAWAB PERJALANAN DINAS</t>
  </si>
  <si>
    <t>Menyatakan dengan sesungguhnya bahwa:</t>
  </si>
  <si>
    <t>Benar bahwa biaya perjalanan dinas telah sesuai dengan yang tercantum pada Rincian Biaya Perjalanan Dinas;</t>
  </si>
  <si>
    <t>3.</t>
  </si>
  <si>
    <t>Benar bahwa terdapat Sharing Kamar Hotel atas nama :</t>
  </si>
  <si>
    <t>a.</t>
  </si>
  <si>
    <t>Agus Dinaria</t>
  </si>
  <si>
    <t>b.</t>
  </si>
  <si>
    <t>Putri Dwi Maulidya</t>
  </si>
  <si>
    <t>Saya akan bertanggung jawab sepenuhnya atas kebenaran seluruh penggunaan biaya perjalanan dinas, maka sehubungan dengan hal tersebut saya menyatakan bahwa saya tidak melakukan :</t>
  </si>
  <si>
    <t>Pemalsuan dokumen;</t>
  </si>
  <si>
    <t>Tindakan berupa menaikkan dari harga sebenarnya (mark up);</t>
  </si>
  <si>
    <t>c.</t>
  </si>
  <si>
    <t>Perjalanan dinas rangkap (dua kali atau lebih).</t>
  </si>
  <si>
    <t>4.</t>
  </si>
  <si>
    <t>Apabila di kemudian hari terdapat kerugian negara karena kelebihan biaya perjalanan dinas, saya bertanggung jawab secara mutlak dan bersedia menyetorkan kerugian negara tersebut ke Kas Negara.</t>
  </si>
  <si>
    <t>Enam Juta Delapan Ratus Sembilan Puluh Tiga Ribu Tujuh Ratus Sepuluh Rupiah</t>
  </si>
  <si>
    <t>Benar bahwa terdapat Sharing Kamar Hotel dan bon taksi atas nama :</t>
  </si>
  <si>
    <t>Robert Alidani</t>
  </si>
  <si>
    <t>Hardian Ramadhana S</t>
  </si>
  <si>
    <t>Enam Juta Tiga Ratus Dua Puluh Delapan Ribu Dua Ratus Sepuluh Rupiah</t>
  </si>
  <si>
    <t>Enam Juta Enam Ratus Dua Ribu Dua Ratus Sepuluh Rupiah</t>
  </si>
  <si>
    <t>Benar bahwa terdapat Sharing Kuitansi Taksi atas nama :</t>
  </si>
  <si>
    <t>Riki Andrian</t>
  </si>
  <si>
    <t>Salman Alfarisi</t>
  </si>
  <si>
    <t>LISTIA MASITA</t>
  </si>
  <si>
    <t>198705102010122001</t>
  </si>
  <si>
    <t>198804252012121000</t>
  </si>
  <si>
    <t>BINSAR SIMANJUNTAK</t>
  </si>
  <si>
    <t>NIP. 196710221992031001</t>
  </si>
  <si>
    <t>196710221992031001</t>
  </si>
  <si>
    <t>Benar bahwa biaya perjalanan dinas telah sesuai dengan yang tercantum pada Rincian Biaya Perjalanan Dinas. Benar bahwa terdapat pembayaran tiket pesawat PNK-CGK dan CGK-PNK yang melebihi SBM sebesar Rp100.925 dan dibayarkan secara at cost</t>
  </si>
  <si>
    <t>BELANJA SEWA</t>
  </si>
  <si>
    <t>(6161.BHB.U12.051.A.522141)</t>
  </si>
  <si>
    <t>Biaya belanja sewa pengeluarannya, meliputi :</t>
  </si>
  <si>
    <t>Biaya sewa Safehouse 1 (satu) unit selama</t>
  </si>
  <si>
    <t>unit</t>
  </si>
  <si>
    <t xml:space="preserve">MOKHAMAD REZA SULAEMAN, A.Md.Im., S.IP. </t>
  </si>
  <si>
    <t>19800921 200112 1 001</t>
  </si>
  <si>
    <t>PENATA TK. I  / (III/d)</t>
  </si>
  <si>
    <t>PLT. KEPALA RUDENIM PONTIANAK</t>
  </si>
  <si>
    <t>ITA ANGGRIANI, S.H.</t>
  </si>
  <si>
    <t>19721013 199203 2 001</t>
  </si>
  <si>
    <t>KEPALA SUB BAGIAN TATA USAHA</t>
  </si>
  <si>
    <t>FAJAR DWI PRASETYO, A.Md.,S.Kom</t>
  </si>
  <si>
    <t>19800913 200901 1 008</t>
  </si>
  <si>
    <t>KASI KEAMANAN DAN KETERTIBAN</t>
  </si>
  <si>
    <t xml:space="preserve">MUHAMMAD REZA, S.H. </t>
  </si>
  <si>
    <t>19840124 200212 1 002</t>
  </si>
  <si>
    <t>PENATA / (III/c)</t>
  </si>
  <si>
    <t>KASI PERAWATAN DAN KESEHATAN</t>
  </si>
  <si>
    <t xml:space="preserve">SYECH MUKHAMAR REZA KHARAMI, S.H. </t>
  </si>
  <si>
    <t>19840831 200312 1 001</t>
  </si>
  <si>
    <t>KASI REG, ADMINISTRASI &amp; PELAPORAN</t>
  </si>
  <si>
    <t xml:space="preserve">FREDERICK A. RUHUPATTY, S.S. </t>
  </si>
  <si>
    <t>19770401 200912 1 002</t>
  </si>
  <si>
    <t>KEPALA URUSAN UMUM</t>
  </si>
  <si>
    <t xml:space="preserve">SAULINA SIMORANGKIR, S.S. </t>
  </si>
  <si>
    <t>19800803 200912 2 001</t>
  </si>
  <si>
    <t>KASUBSI REGISTRASI</t>
  </si>
  <si>
    <t xml:space="preserve">YAKUB SAPUTRA SIMANJUNTAK, S.P. </t>
  </si>
  <si>
    <t>19830521 200604 1 001</t>
  </si>
  <si>
    <t>PENATA TK. I / (III/d)</t>
  </si>
  <si>
    <t>KASUBSI KETERTIBAN</t>
  </si>
  <si>
    <t>FITRIADI TULUS</t>
  </si>
  <si>
    <t>19680516 199003 1 003</t>
  </si>
  <si>
    <t>PENATA MUDA Tk. I / (III/b)</t>
  </si>
  <si>
    <t>KASUBSI ADMINISTRASI DAN PELAPORAN</t>
  </si>
  <si>
    <t>TARMUJI</t>
  </si>
  <si>
    <t>19680727 199103 1 002</t>
  </si>
  <si>
    <t>KASUBSI KESEHATAN</t>
  </si>
  <si>
    <t>HARYANTO</t>
  </si>
  <si>
    <t>19711104 199103 1 001</t>
  </si>
  <si>
    <t>KASUBSI PERAWATAN</t>
  </si>
  <si>
    <t>TEDY SUMPONO</t>
  </si>
  <si>
    <t>19810907 200501 1 001</t>
  </si>
  <si>
    <t>PENATA MUDA TK. I / (III/b)</t>
  </si>
  <si>
    <t>KASUBSI KEAMANAN</t>
  </si>
  <si>
    <t>HARDIAN RAMADHANA SESTYANTO, S.H.</t>
  </si>
  <si>
    <t>19880425 201212 1 003</t>
  </si>
  <si>
    <t>KAUR KEUANGAN</t>
  </si>
  <si>
    <t>GORGA ARISANDY SIREGAR, S.Kom.</t>
  </si>
  <si>
    <t xml:space="preserve"> 19920703 201712 1 001</t>
  </si>
  <si>
    <t>KAUR KEPEGAWAIAN</t>
  </si>
  <si>
    <t xml:space="preserve">IRWANSYAH, S.H. </t>
  </si>
  <si>
    <t>19701017 199703 1 001</t>
  </si>
  <si>
    <t>PENYUSUN LAPORAN DAN HASIL EVALUASI</t>
  </si>
  <si>
    <t xml:space="preserve">MUHAMMAD IQBAL, A.Md.Im., S.H., M.Si. </t>
  </si>
  <si>
    <t>19840930 200312 1 002</t>
  </si>
  <si>
    <t>ANALIS PENGELOLAAN KEUANGAN ANGGARAN PENDAPATAN DAN BELANJA NEGARA AHLI MUDA</t>
  </si>
  <si>
    <t xml:space="preserve">AGUS DINARIA, S.H. </t>
  </si>
  <si>
    <t>19870806 200604 2 001</t>
  </si>
  <si>
    <t>PENYUSUN RENCANA KERJA &amp; ANGGARAN</t>
  </si>
  <si>
    <t>WIRA PRATAMA ELVIRA PUTRI, S.ST.</t>
  </si>
  <si>
    <t>19871207 200903 2 003</t>
  </si>
  <si>
    <t>PENGOLAH DATA KESEHATAN</t>
  </si>
  <si>
    <t>MUHAMMAD FAJAR WAHYUDI, A.Md.</t>
  </si>
  <si>
    <t>19831005 200901 1 015</t>
  </si>
  <si>
    <t>PENGELOLA DATA KEAMANAN DAN KETERTIBAN</t>
  </si>
  <si>
    <t xml:space="preserve">HILMAN FIRDAUS, S.Kom. </t>
  </si>
  <si>
    <t>19870306 200901 1 002</t>
  </si>
  <si>
    <t xml:space="preserve">PENYUSUN LAPORAN DAN HASIL EVALUASI </t>
  </si>
  <si>
    <t>M. IRWANTO RAHMAWAN</t>
  </si>
  <si>
    <t>19760108 200112 1 001</t>
  </si>
  <si>
    <t>PENGELOLA KEAMANAN DAN KETERTIBAN</t>
  </si>
  <si>
    <t>YUSDIAWAN</t>
  </si>
  <si>
    <t>19770530 200212 1 001</t>
  </si>
  <si>
    <t>PENGOLAH DATA LAPORAN KEAMANAN DAN KETERTIBAN</t>
  </si>
  <si>
    <t xml:space="preserve">GALIH NOFRIO NANDA, S.IP. </t>
  </si>
  <si>
    <t>19841109 201712 1 001</t>
  </si>
  <si>
    <t xml:space="preserve">ANALIS KEIMIGRASIAN PERTAMA </t>
  </si>
  <si>
    <t xml:space="preserve">CHANDRA HADINATA, S.E. </t>
  </si>
  <si>
    <t>19910117 201503 1 004</t>
  </si>
  <si>
    <t>PENGELOLA DATA</t>
  </si>
  <si>
    <t xml:space="preserve">ARIANDI, S.H. </t>
  </si>
  <si>
    <t>19880119 200801 1 001</t>
  </si>
  <si>
    <t>PENATA MUDA / (III/a)</t>
  </si>
  <si>
    <t>KOMANDAN JAGA PEMASYARAKATAN/KEIMIGRASIAN</t>
  </si>
  <si>
    <t xml:space="preserve">AGUNG SUPRABOWO, A.Md.Kep. </t>
  </si>
  <si>
    <t>19900214 201503 1 006</t>
  </si>
  <si>
    <t xml:space="preserve">WAN RHOMA DONNY, A.Md. </t>
  </si>
  <si>
    <t>19900420 201503 1 002</t>
  </si>
  <si>
    <t xml:space="preserve">PENGELOLA DATA KEPEGAWAIAN </t>
  </si>
  <si>
    <t xml:space="preserve">MOCHAMAD HENDRO TRIYONO, A.Md. </t>
  </si>
  <si>
    <t>19900816 201503 1 003</t>
  </si>
  <si>
    <t>PENGOLAH  DATA LAPORAN</t>
  </si>
  <si>
    <t xml:space="preserve">DEWA GEDE GUNA SUWASTAWA, A.Md. </t>
  </si>
  <si>
    <t>19930822 201712 1 001</t>
  </si>
  <si>
    <t>PEMERIKSA KEIMIGRASIAN MAHIR</t>
  </si>
  <si>
    <t xml:space="preserve">JANUARTI TRI NINGSIH, S.H. </t>
  </si>
  <si>
    <t>19940115 201212 2 001</t>
  </si>
  <si>
    <t xml:space="preserve">PENGOLAH BAHAN EVALUASI DAN PELAPORAN </t>
  </si>
  <si>
    <t xml:space="preserve">RIKI ANDRIAN, S.H. </t>
  </si>
  <si>
    <t>20001003 201901 1 001</t>
  </si>
  <si>
    <t>OPERATOR KOMPUTER</t>
  </si>
  <si>
    <t>IVAN ILHAMSYAH</t>
  </si>
  <si>
    <t>19821216 201012 1 003</t>
  </si>
  <si>
    <t>PENGATUR TK. I / (II/d)</t>
  </si>
  <si>
    <t>SYAIFULLAH</t>
  </si>
  <si>
    <t>19850826 201212 1 001</t>
  </si>
  <si>
    <t>PENGELOLA RUMAH DETENSI</t>
  </si>
  <si>
    <t>JOHANSYAH</t>
  </si>
  <si>
    <t>19860101 201212 1 004</t>
  </si>
  <si>
    <t>ARRY FEBRIYANTO</t>
  </si>
  <si>
    <t>19910204 201212 1 002</t>
  </si>
  <si>
    <t>KUSTODIAN BARANG MILIK NEGARA</t>
  </si>
  <si>
    <t>SURYA AGIL SAPUTRA</t>
  </si>
  <si>
    <t>19921210 201212 1 004</t>
  </si>
  <si>
    <t>AJIE BARIANDONO</t>
  </si>
  <si>
    <t>19940701 201212 1 001</t>
  </si>
  <si>
    <t>PENGOLAH DATA ANGGARAN</t>
  </si>
  <si>
    <t xml:space="preserve">YUDIA NATALIA, A.Md. </t>
  </si>
  <si>
    <t>19941225 201712 2 001</t>
  </si>
  <si>
    <t>PEMERIKSA KEIMIGRASIAN TERAMPIL</t>
  </si>
  <si>
    <t>MUHAMMAD INDRA GUNAWAN</t>
  </si>
  <si>
    <t>19970223 201712 1 004</t>
  </si>
  <si>
    <t>PENGATUR / (II/c)</t>
  </si>
  <si>
    <t>PETUGAS PENGAMANAN DETENI</t>
  </si>
  <si>
    <t>BIMA ADE HANDOKO</t>
  </si>
  <si>
    <t>19981115 201712 1 006</t>
  </si>
  <si>
    <t>AJUDAN</t>
  </si>
  <si>
    <t>OKTAVIANUS DEDY HARTANTO</t>
  </si>
  <si>
    <t>19940523 201901 1 001</t>
  </si>
  <si>
    <t>PENGATUR MUDA Tk. I / (II/b)</t>
  </si>
  <si>
    <t>YOGIE PRATAMA TRIATMOJO</t>
  </si>
  <si>
    <t>19970409 201901 1 001</t>
  </si>
  <si>
    <t>CINDY FEBRIANTY</t>
  </si>
  <si>
    <t>19980221 201901 2 001</t>
  </si>
  <si>
    <t xml:space="preserve">PENGHUBUNG ADMINISTRASI KEPEGAWAIAN </t>
  </si>
  <si>
    <t>KARIN AMALIA</t>
  </si>
  <si>
    <t>19990820 201901 2 001</t>
  </si>
  <si>
    <t>PENGOLAH ADMINISTRASI PIMPINAN</t>
  </si>
  <si>
    <t>AJENG ATIKA GUSTI PININGGIT</t>
  </si>
  <si>
    <t>19990822 201901 2 001</t>
  </si>
  <si>
    <t>PETUGAS DOKUMENTASI (FOTOGRAFER)</t>
  </si>
  <si>
    <t>PUTRI DWI MAULIDYA</t>
  </si>
  <si>
    <t>20000809 201901 2 001</t>
  </si>
  <si>
    <t>PENGADMINISTRASI KEUANGAN</t>
  </si>
  <si>
    <t>SALMAN ALFARISI</t>
  </si>
  <si>
    <t>19970526 202012 1 002</t>
  </si>
  <si>
    <t>PETUGAS/ANGGOTA JAGA</t>
  </si>
  <si>
    <t>M. SURYA FIRDAUS O.W</t>
  </si>
  <si>
    <t>19981009 202012 1 001</t>
  </si>
  <si>
    <t>RESHA PRADINA</t>
  </si>
  <si>
    <t>19981210 202012 2 001</t>
  </si>
  <si>
    <t xml:space="preserve">PENGOLAH DATA KEGIATAN PENGAMANAN </t>
  </si>
  <si>
    <t>ALWIKA SEPTIA NINGTIAS</t>
  </si>
  <si>
    <t>19990902 202012 2 001</t>
  </si>
  <si>
    <t>PENGADMINISTRASI KEPEGAWAIAN</t>
  </si>
  <si>
    <t>QIRANA DEVA JUANA RAMADANA</t>
  </si>
  <si>
    <t>19991220 202012 1 003</t>
  </si>
  <si>
    <t>KHOIRURRIJAL</t>
  </si>
  <si>
    <t>20000902 202012 1 003</t>
  </si>
  <si>
    <t>ADAM JORDAN</t>
  </si>
  <si>
    <t>20001028 202012 1 001</t>
  </si>
  <si>
    <t>DONI IRAWAN</t>
  </si>
  <si>
    <t>20001215 202012 1 003</t>
  </si>
  <si>
    <t>ADDO SURYAWINATA</t>
  </si>
  <si>
    <t>20010123 202012 1 005</t>
  </si>
  <si>
    <t>RIDUAN</t>
  </si>
  <si>
    <t>20010611 202012 1 001</t>
  </si>
  <si>
    <t>DANU ARDIAN SAPUTRA</t>
  </si>
  <si>
    <t>20010729 202012 1001</t>
  </si>
  <si>
    <t>ERA DWI SURYANI</t>
  </si>
  <si>
    <t>19960915 202506 2 010</t>
  </si>
  <si>
    <t>PENGATUR MUDA / (II/a)</t>
  </si>
  <si>
    <t>PENJAGA TAHANAN</t>
  </si>
  <si>
    <t>MUHAMMAD RAMADHAN MARSUDI</t>
  </si>
  <si>
    <t>19970112 202506 1 007</t>
  </si>
  <si>
    <t>MUSRIPAN</t>
  </si>
  <si>
    <t>19981209 202506 1 006</t>
  </si>
  <si>
    <t>VIA WAHYUNNI</t>
  </si>
  <si>
    <t>20000315 202506 2 014</t>
  </si>
  <si>
    <t>ALFIE MUHAMMAD RUSTANDY DAULAY</t>
  </si>
  <si>
    <t>20001009 202506 1 015</t>
  </si>
  <si>
    <t>VINZENSIUS DIKAFRIO</t>
  </si>
  <si>
    <t>20020224 202506 1 005</t>
  </si>
  <si>
    <t>OGAN MANDALA PUTRA</t>
  </si>
  <si>
    <t>20020719 202506 1 005</t>
  </si>
  <si>
    <t>YUYUN FRANSISKA</t>
  </si>
  <si>
    <t>20021230 202506 2 005</t>
  </si>
  <si>
    <t>DWI ANANTA</t>
  </si>
  <si>
    <t>20030429 202506 1 003</t>
  </si>
  <si>
    <t>APRILIA MAULINA</t>
  </si>
  <si>
    <t>20030430 202506 2 004</t>
  </si>
  <si>
    <t>SUPRIYADI</t>
  </si>
  <si>
    <t>20040709 202506 1 004</t>
  </si>
  <si>
    <t>ANDROMEDA DHARU SULAKSO</t>
  </si>
  <si>
    <t>20050318 202506 1 004</t>
  </si>
  <si>
    <t>JEVANEYA CHRISTALIA</t>
  </si>
  <si>
    <t>20050604 202506 2 002</t>
  </si>
  <si>
    <t>DEKA YUWANDRA</t>
  </si>
  <si>
    <t>20051224 202506 1 003</t>
  </si>
  <si>
    <t>28 sd 28 Mei 2026</t>
  </si>
  <si>
    <t>TANGGAL:</t>
  </si>
  <si>
    <t>28 sd 30 Mei 2026</t>
  </si>
  <si>
    <t>25 sd 28 Mei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</si>
</sst>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Rp&quot;* #,##0_-;\-&quot;Rp&quot;* #,##0_-;_-&quot;Rp&quot;* &quot;-&quot;_-;_-@_-"/>
    <numFmt numFmtId="41" formatCode="_-* #,##0_-;\-* #,##0_-;_-* &quot;-&quot;_-;_-@_-"/>
    <numFmt numFmtId="43" formatCode="_-* #,##0.00_-;\-* #,##0.00_-;_-* &quot;-&quot;??_-;_-@_-"/>
    <numFmt numFmtId="164" formatCode="_([$Rp-421]* #,##0.00_);_([$Rp-421]* \(#,##0.00\);_([$Rp-421]* &quot;-&quot;??_);_(@_)"/>
    <numFmt numFmtId="165" formatCode="_-[$Rp-421]* #,##0_-;\-[$Rp-421]* #,##0_-;_-[$Rp-421]* &quot;-&quot;_-;_-@_-"/>
    <numFmt numFmtId="166" formatCode="_(&quot;Rp&quot;* #,##0_);_(&quot;Rp&quot;* \(#,##0\);_(&quot;Rp&quot;* &quot;-&quot;_);_(@_)"/>
    <numFmt numFmtId="167" formatCode="_-* #,##0_-;\-* #,##0_-;_-* &quot;-&quot;??_-;_-@_-"/>
    <numFmt numFmtId="168" formatCode="[$-421]dd\ mmmm\ yyyy;@"/>
    <numFmt numFmtId="169" formatCode="_([$Rp-421]* #,##0_);_([$Rp-421]* \(#,##0\);_([$Rp-421]* &quot;-&quot;??_);_(@_)"/>
  </numFmts>
  <fonts count="55"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ahoma"/>
      <family val="2"/>
    </font>
    <font>
      <sz val="10"/>
      <name val="Arial"/>
      <family val="2"/>
    </font>
    <font>
      <sz val="11"/>
      <color theme="1"/>
      <name val="Calibri"/>
      <family val="2"/>
      <charset val="1"/>
      <scheme val="minor"/>
    </font>
    <font>
      <sz val="11"/>
      <color theme="1"/>
      <name val="Calibri"/>
      <family val="2"/>
      <scheme val="minor"/>
    </font>
    <font>
      <sz val="11"/>
      <color theme="1"/>
      <name val="Arial"/>
      <family val="2"/>
    </font>
    <font>
      <sz val="10"/>
      <color theme="1"/>
      <name val="Tahoma"/>
      <family val="2"/>
    </font>
    <font>
      <sz val="11"/>
      <color theme="1"/>
      <name val="Tahoma"/>
      <family val="2"/>
    </font>
    <font>
      <b/>
      <sz val="11"/>
      <color theme="1"/>
      <name val="Tahoma"/>
      <family val="2"/>
    </font>
    <font>
      <b/>
      <sz val="10"/>
      <color theme="1"/>
      <name val="Tahoma"/>
      <family val="2"/>
    </font>
    <font>
      <b/>
      <sz val="11"/>
      <color theme="1"/>
      <name val="Arial"/>
      <family val="2"/>
    </font>
    <font>
      <b/>
      <sz val="11"/>
      <color theme="1"/>
      <name val="Calibri"/>
      <family val="2"/>
      <scheme val="minor"/>
    </font>
    <font>
      <b/>
      <i/>
      <sz val="11"/>
      <color theme="1"/>
      <name val="Calibri"/>
      <family val="2"/>
      <scheme val="minor"/>
    </font>
    <font>
      <b/>
      <u/>
      <sz val="11"/>
      <color theme="1"/>
      <name val="Arial"/>
      <family val="2"/>
    </font>
    <font>
      <sz val="6"/>
      <color theme="1"/>
      <name val="Arial"/>
      <family val="2"/>
    </font>
    <font>
      <b/>
      <sz val="12"/>
      <color theme="1"/>
      <name val="Arial"/>
      <family val="2"/>
    </font>
    <font>
      <sz val="12"/>
      <color theme="1"/>
      <name val="Calibri"/>
      <family val="2"/>
      <scheme val="minor"/>
    </font>
    <font>
      <sz val="12"/>
      <color theme="1"/>
      <name val="Arial"/>
      <family val="2"/>
    </font>
    <font>
      <b/>
      <sz val="14"/>
      <color theme="1"/>
      <name val="Arial"/>
      <family val="2"/>
    </font>
    <font>
      <sz val="14"/>
      <color theme="1"/>
      <name val="Calibri"/>
      <family val="2"/>
      <scheme val="minor"/>
    </font>
    <font>
      <b/>
      <sz val="14"/>
      <color theme="1"/>
      <name val="Cambria"/>
      <family val="1"/>
    </font>
    <font>
      <sz val="11"/>
      <color theme="1"/>
      <name val="Cambria"/>
      <family val="1"/>
    </font>
    <font>
      <sz val="14"/>
      <color theme="1"/>
      <name val="Cambria"/>
      <family val="1"/>
    </font>
    <font>
      <sz val="12"/>
      <color theme="1"/>
      <name val="Cambria"/>
      <family val="1"/>
    </font>
    <font>
      <sz val="12"/>
      <color rgb="FFFF0000"/>
      <name val="Cambria"/>
      <family val="1"/>
    </font>
    <font>
      <b/>
      <sz val="12"/>
      <color theme="1"/>
      <name val="Cambria"/>
      <family val="1"/>
    </font>
    <font>
      <b/>
      <sz val="16"/>
      <color theme="1"/>
      <name val="Cambria"/>
      <family val="1"/>
    </font>
    <font>
      <b/>
      <i/>
      <sz val="12"/>
      <color theme="1"/>
      <name val="Cambria"/>
      <family val="1"/>
    </font>
    <font>
      <sz val="12"/>
      <name val="Cambria"/>
      <family val="1"/>
    </font>
    <font>
      <b/>
      <sz val="12"/>
      <name val="Cambria"/>
      <family val="1"/>
    </font>
    <font>
      <sz val="11"/>
      <name val="Cambria"/>
      <family val="1"/>
    </font>
    <font>
      <sz val="10"/>
      <color rgb="FF000000"/>
      <name val="Tahoma"/>
      <family val="2"/>
    </font>
    <font>
      <sz val="10"/>
      <color rgb="FF000000"/>
      <name val="Tahoma"/>
      <family val="2"/>
    </font>
    <font>
      <b/>
      <sz val="16"/>
      <color rgb="FFFFFFFF"/>
      <name val="Arial"/>
      <family val="2"/>
    </font>
    <font>
      <sz val="11"/>
      <color rgb="FFBDD7EE"/>
      <name val="Arial"/>
      <family val="2"/>
    </font>
    <font>
      <i/>
      <sz val="9"/>
      <color rgb="FF404040"/>
      <name val="Arial"/>
      <family val="2"/>
    </font>
    <font>
      <b/>
      <sz val="10"/>
      <color rgb="FFFFFFFF"/>
      <name val="Arial"/>
      <family val="2"/>
    </font>
    <font>
      <b/>
      <sz val="10"/>
      <color rgb="FF2E5FAB"/>
      <name val="Arial"/>
      <family val="2"/>
    </font>
    <font>
      <b/>
      <u/>
      <sz val="10"/>
      <color rgb="FF2E5FAB"/>
      <name val="Arial"/>
      <family val="2"/>
    </font>
    <font>
      <sz val="9"/>
      <color rgb="FF404040"/>
      <name val="Arial"/>
      <family val="2"/>
    </font>
    <font>
      <i/>
      <sz val="9"/>
      <color rgb="FF7F7F7F"/>
      <name val="Arial"/>
      <family val="2"/>
    </font>
    <font>
      <b/>
      <u/>
      <sz val="8"/>
      <color rgb="FFFFFFFF"/>
      <name val="Arial"/>
      <family val="2"/>
    </font>
    <font>
      <sz val="9"/>
      <color theme="1"/>
      <name val="Times New Roman"/>
      <family val="1"/>
    </font>
    <font>
      <sz val="9"/>
      <color rgb="FF000000"/>
      <name val="Times New Roman"/>
      <family val="1"/>
    </font>
    <font>
      <sz val="10"/>
      <color theme="1"/>
      <name val="Times New Roman"/>
      <family val="1"/>
    </font>
  </fonts>
  <fills count="11">
    <fill>
      <patternFill patternType="none"/>
    </fill>
    <fill>
      <patternFill patternType="gray125"/>
    </fill>
    <fill>
      <patternFill patternType="solid">
        <fgColor indexed="9"/>
        <bgColor indexed="64"/>
      </patternFill>
    </fill>
    <fill>
      <patternFill patternType="solid">
        <fgColor theme="8"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1B3A6B"/>
      </patternFill>
    </fill>
    <fill>
      <patternFill patternType="solid">
        <fgColor rgb="FFEBF3FB"/>
      </patternFill>
    </fill>
    <fill>
      <patternFill patternType="solid">
        <fgColor rgb="FF2E5FAB"/>
      </patternFill>
    </fill>
    <fill>
      <patternFill patternType="solid">
        <fgColor rgb="FFFFFFFF"/>
      </patternFill>
    </fill>
    <fill>
      <patternFill patternType="solid">
        <fgColor rgb="FFEEF4FB"/>
      </patternFill>
    </fill>
  </fills>
  <borders count="37">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BDD7EE"/>
      </left>
      <right style="thin">
        <color rgb="FFBDD7EE"/>
      </right>
      <top style="thin">
        <color rgb="FFBDD7EE"/>
      </top>
      <bottom style="thin">
        <color rgb="FFBDD7EE"/>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41" fontId="13" fillId="0" borderId="0"/>
    <xf numFmtId="0" fontId="14" fillId="0" borderId="0"/>
    <xf numFmtId="0" fontId="12" fillId="0" borderId="0"/>
    <xf numFmtId="0" fontId="14" fillId="0" borderId="0"/>
    <xf numFmtId="0" fontId="14" fillId="0" borderId="0"/>
    <xf numFmtId="43" fontId="13" fillId="0" borderId="0"/>
  </cellStyleXfs>
  <cellXfs count="337">
    <xf numFmtId="0" fontId="0" fillId="0" borderId="0" xfId="0"/>
    <xf numFmtId="0" fontId="15" fillId="0" borderId="0" xfId="0" applyFont="1"/>
    <xf numFmtId="0" fontId="16" fillId="0" borderId="3" xfId="4" applyFont="1" applyBorder="1" applyAlignment="1">
      <alignment vertical="center"/>
    </xf>
    <xf numFmtId="0" fontId="16" fillId="0" borderId="4" xfId="4" quotePrefix="1" applyFont="1" applyBorder="1" applyAlignment="1">
      <alignment vertical="center"/>
    </xf>
    <xf numFmtId="0" fontId="17" fillId="0" borderId="0" xfId="0" applyFont="1"/>
    <xf numFmtId="0" fontId="18" fillId="0" borderId="0" xfId="0" applyFont="1" applyAlignment="1">
      <alignment horizontal="center"/>
    </xf>
    <xf numFmtId="0" fontId="17" fillId="0" borderId="0" xfId="0" applyFont="1" applyAlignment="1">
      <alignment horizontal="center" vertical="center"/>
    </xf>
    <xf numFmtId="41" fontId="18" fillId="0" borderId="5" xfId="1" applyFont="1" applyBorder="1" applyAlignment="1">
      <alignment horizontal="center" vertical="center" wrapText="1"/>
    </xf>
    <xf numFmtId="3" fontId="18" fillId="0" borderId="6" xfId="0" applyNumberFormat="1" applyFont="1" applyBorder="1" applyAlignment="1">
      <alignment horizontal="center"/>
    </xf>
    <xf numFmtId="3" fontId="18" fillId="0" borderId="7" xfId="0" applyNumberFormat="1" applyFont="1" applyBorder="1" applyAlignment="1">
      <alignment horizontal="center"/>
    </xf>
    <xf numFmtId="0" fontId="18" fillId="0" borderId="7" xfId="0" applyFont="1" applyBorder="1"/>
    <xf numFmtId="0" fontId="17" fillId="0" borderId="0" xfId="0" applyFont="1" applyAlignment="1">
      <alignment horizontal="center"/>
    </xf>
    <xf numFmtId="3" fontId="17" fillId="0" borderId="0" xfId="0" applyNumberFormat="1" applyFont="1"/>
    <xf numFmtId="3" fontId="17" fillId="0" borderId="0" xfId="1" applyNumberFormat="1" applyFont="1" applyAlignment="1">
      <alignment horizontal="right"/>
    </xf>
    <xf numFmtId="3" fontId="17" fillId="0" borderId="0" xfId="0" applyNumberFormat="1" applyFont="1" applyAlignment="1">
      <alignment horizontal="center"/>
    </xf>
    <xf numFmtId="41" fontId="16" fillId="0" borderId="3" xfId="1" applyFont="1" applyBorder="1" applyAlignment="1">
      <alignment vertical="center"/>
    </xf>
    <xf numFmtId="0" fontId="19" fillId="0" borderId="3" xfId="0" applyFont="1" applyBorder="1" applyAlignment="1">
      <alignment vertical="center"/>
    </xf>
    <xf numFmtId="0" fontId="16" fillId="0" borderId="0" xfId="0" applyFont="1" applyAlignment="1">
      <alignment vertical="center"/>
    </xf>
    <xf numFmtId="41" fontId="16" fillId="0" borderId="4" xfId="1" applyFont="1" applyBorder="1" applyAlignment="1">
      <alignment vertical="center"/>
    </xf>
    <xf numFmtId="0" fontId="18" fillId="0" borderId="3"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49" fontId="16" fillId="0" borderId="3" xfId="4" applyNumberFormat="1" applyFont="1" applyBorder="1" applyAlignment="1" applyProtection="1">
      <alignment vertical="center"/>
      <protection locked="0"/>
    </xf>
    <xf numFmtId="0" fontId="14" fillId="0" borderId="0" xfId="4"/>
    <xf numFmtId="0" fontId="15" fillId="0" borderId="0" xfId="4" applyFont="1"/>
    <xf numFmtId="0" fontId="20" fillId="0" borderId="0" xfId="4" applyFont="1"/>
    <xf numFmtId="0" fontId="20" fillId="0" borderId="7" xfId="4" applyFont="1" applyBorder="1" applyAlignment="1">
      <alignment horizontal="center" vertical="center"/>
    </xf>
    <xf numFmtId="0" fontId="20" fillId="0" borderId="0" xfId="4" applyFont="1" applyAlignment="1">
      <alignment horizontal="center" vertical="center"/>
    </xf>
    <xf numFmtId="0" fontId="14" fillId="0" borderId="0" xfId="4" applyAlignment="1">
      <alignment horizontal="center"/>
    </xf>
    <xf numFmtId="0" fontId="15" fillId="0" borderId="3" xfId="4" applyFont="1" applyBorder="1" applyAlignment="1">
      <alignment horizontal="center" vertical="center"/>
    </xf>
    <xf numFmtId="164" fontId="15" fillId="0" borderId="3" xfId="4" applyNumberFormat="1" applyFont="1" applyBorder="1"/>
    <xf numFmtId="0" fontId="15" fillId="0" borderId="1" xfId="4" applyFont="1" applyBorder="1"/>
    <xf numFmtId="0" fontId="15" fillId="0" borderId="8" xfId="4" applyFont="1" applyBorder="1"/>
    <xf numFmtId="0" fontId="15" fillId="0" borderId="5" xfId="4" applyFont="1" applyBorder="1"/>
    <xf numFmtId="0" fontId="20" fillId="0" borderId="9" xfId="4" applyFont="1" applyBorder="1"/>
    <xf numFmtId="164" fontId="15" fillId="0" borderId="5" xfId="4" applyNumberFormat="1" applyFont="1" applyBorder="1"/>
    <xf numFmtId="0" fontId="15" fillId="0" borderId="9" xfId="4" applyFont="1" applyBorder="1"/>
    <xf numFmtId="0" fontId="15" fillId="0" borderId="10" xfId="4" applyFont="1" applyBorder="1"/>
    <xf numFmtId="0" fontId="14" fillId="0" borderId="9" xfId="4" applyBorder="1" applyAlignment="1">
      <alignment horizontal="center" vertical="center"/>
    </xf>
    <xf numFmtId="0" fontId="15" fillId="0" borderId="0" xfId="4" applyFont="1" applyAlignment="1">
      <alignment vertical="center"/>
    </xf>
    <xf numFmtId="0" fontId="14" fillId="0" borderId="0" xfId="4" applyAlignment="1">
      <alignment horizontal="center" vertical="center"/>
    </xf>
    <xf numFmtId="0" fontId="14" fillId="0" borderId="0" xfId="4" applyAlignment="1">
      <alignment horizontal="left" vertical="center"/>
    </xf>
    <xf numFmtId="0" fontId="15" fillId="0" borderId="10" xfId="4" applyFont="1" applyBorder="1" applyAlignment="1">
      <alignment vertical="center"/>
    </xf>
    <xf numFmtId="164" fontId="20" fillId="0" borderId="7" xfId="4" applyNumberFormat="1" applyFont="1" applyBorder="1"/>
    <xf numFmtId="0" fontId="21" fillId="0" borderId="11" xfId="4" applyFont="1" applyBorder="1"/>
    <xf numFmtId="0" fontId="21" fillId="0" borderId="12" xfId="4" applyFont="1" applyBorder="1"/>
    <xf numFmtId="164" fontId="15" fillId="0" borderId="0" xfId="4" applyNumberFormat="1" applyFont="1"/>
    <xf numFmtId="164" fontId="20" fillId="0" borderId="0" xfId="4" applyNumberFormat="1" applyFont="1" applyAlignment="1">
      <alignment horizontal="center"/>
    </xf>
    <xf numFmtId="0" fontId="15" fillId="0" borderId="0" xfId="4" applyFont="1" applyAlignment="1">
      <alignment horizontal="left"/>
    </xf>
    <xf numFmtId="0" fontId="15" fillId="0" borderId="13" xfId="4" applyFont="1" applyBorder="1"/>
    <xf numFmtId="0" fontId="15" fillId="0" borderId="0" xfId="4" applyFont="1" applyAlignment="1">
      <alignment horizontal="center"/>
    </xf>
    <xf numFmtId="0" fontId="15" fillId="0" borderId="0" xfId="4" applyFont="1" applyAlignment="1">
      <alignment horizontal="center" vertical="center"/>
    </xf>
    <xf numFmtId="164" fontId="15" fillId="0" borderId="0" xfId="4" applyNumberFormat="1" applyFont="1" applyAlignment="1">
      <alignment horizontal="center"/>
    </xf>
    <xf numFmtId="164" fontId="15" fillId="0" borderId="0" xfId="4" applyNumberFormat="1" applyFont="1" applyAlignment="1">
      <alignment horizontal="center" vertical="center"/>
    </xf>
    <xf numFmtId="0" fontId="15" fillId="0" borderId="0" xfId="0" applyFont="1" applyAlignment="1">
      <alignment vertical="center"/>
    </xf>
    <xf numFmtId="41" fontId="15" fillId="0" borderId="0" xfId="0" applyNumberFormat="1" applyFont="1"/>
    <xf numFmtId="0" fontId="20" fillId="0" borderId="12" xfId="4" applyFont="1" applyBorder="1" applyAlignment="1">
      <alignment horizontal="center" vertical="center"/>
    </xf>
    <xf numFmtId="0" fontId="20" fillId="0" borderId="8" xfId="4" applyFont="1" applyBorder="1" applyAlignment="1">
      <alignment horizontal="left" vertical="center" wrapText="1"/>
    </xf>
    <xf numFmtId="0" fontId="20" fillId="0" borderId="10" xfId="4" applyFont="1" applyBorder="1" applyAlignment="1">
      <alignment horizontal="left"/>
    </xf>
    <xf numFmtId="0" fontId="23" fillId="0" borderId="10" xfId="4" applyFont="1" applyBorder="1" applyAlignment="1">
      <alignment horizontal="left" vertical="center" wrapText="1"/>
    </xf>
    <xf numFmtId="0" fontId="20" fillId="0" borderId="12" xfId="4" applyFont="1" applyBorder="1" applyAlignment="1">
      <alignment horizontal="center"/>
    </xf>
    <xf numFmtId="1" fontId="15" fillId="0" borderId="0" xfId="4" applyNumberFormat="1" applyFont="1" applyAlignment="1">
      <alignment horizontal="center" vertical="center"/>
    </xf>
    <xf numFmtId="0" fontId="18" fillId="0" borderId="13" xfId="0" applyFont="1" applyBorder="1" applyAlignment="1">
      <alignment horizontal="center" vertical="center" wrapText="1"/>
    </xf>
    <xf numFmtId="0" fontId="18" fillId="0" borderId="0" xfId="0" applyFont="1" applyAlignment="1">
      <alignment horizontal="center" vertical="center" wrapText="1"/>
    </xf>
    <xf numFmtId="0" fontId="18" fillId="0" borderId="14" xfId="0" applyFont="1" applyBorder="1" applyAlignment="1">
      <alignment horizontal="center" vertical="center" wrapText="1"/>
    </xf>
    <xf numFmtId="165" fontId="15" fillId="0" borderId="5" xfId="4" applyNumberFormat="1" applyFont="1" applyBorder="1"/>
    <xf numFmtId="42" fontId="15" fillId="0" borderId="10" xfId="4" applyNumberFormat="1" applyFont="1" applyBorder="1" applyAlignment="1">
      <alignment vertical="center"/>
    </xf>
    <xf numFmtId="1" fontId="15" fillId="0" borderId="0" xfId="4" applyNumberFormat="1" applyFont="1" applyAlignment="1">
      <alignment horizontal="left" vertical="center"/>
    </xf>
    <xf numFmtId="0" fontId="10" fillId="0" borderId="0" xfId="4" applyFont="1"/>
    <xf numFmtId="0" fontId="15" fillId="0" borderId="0" xfId="4" applyFont="1" applyAlignment="1">
      <alignment horizontal="right"/>
    </xf>
    <xf numFmtId="0" fontId="20" fillId="0" borderId="0" xfId="4" applyFont="1" applyAlignment="1">
      <alignment vertical="center"/>
    </xf>
    <xf numFmtId="0" fontId="20" fillId="0" borderId="0" xfId="4" quotePrefix="1" applyFont="1"/>
    <xf numFmtId="0" fontId="18" fillId="0" borderId="0" xfId="0" applyFont="1" applyAlignment="1">
      <alignment vertical="top" wrapText="1"/>
    </xf>
    <xf numFmtId="0" fontId="16" fillId="0" borderId="4" xfId="4" applyFont="1" applyBorder="1" applyAlignment="1">
      <alignment vertical="center"/>
    </xf>
    <xf numFmtId="0" fontId="26" fillId="0" borderId="0" xfId="4" applyFont="1"/>
    <xf numFmtId="0" fontId="27" fillId="0" borderId="0" xfId="4" applyFont="1"/>
    <xf numFmtId="0" fontId="27" fillId="0" borderId="0" xfId="4" applyFont="1" applyAlignment="1">
      <alignment horizontal="right"/>
    </xf>
    <xf numFmtId="0" fontId="27" fillId="0" borderId="13" xfId="4" applyFont="1" applyBorder="1"/>
    <xf numFmtId="0" fontId="27" fillId="0" borderId="1" xfId="4" applyFont="1" applyBorder="1"/>
    <xf numFmtId="0" fontId="27" fillId="0" borderId="8" xfId="4" applyFont="1" applyBorder="1"/>
    <xf numFmtId="0" fontId="27" fillId="0" borderId="9" xfId="4" applyFont="1" applyBorder="1"/>
    <xf numFmtId="0" fontId="27" fillId="0" borderId="10" xfId="4" applyFont="1" applyBorder="1"/>
    <xf numFmtId="1" fontId="27" fillId="0" borderId="0" xfId="4" applyNumberFormat="1" applyFont="1" applyAlignment="1">
      <alignment horizontal="left"/>
    </xf>
    <xf numFmtId="0" fontId="27" fillId="0" borderId="0" xfId="4" applyFont="1" applyAlignment="1">
      <alignment horizontal="left"/>
    </xf>
    <xf numFmtId="41" fontId="27" fillId="0" borderId="0" xfId="4" applyNumberFormat="1" applyFont="1"/>
    <xf numFmtId="42" fontId="27" fillId="0" borderId="0" xfId="4" applyNumberFormat="1" applyFont="1"/>
    <xf numFmtId="0" fontId="27" fillId="0" borderId="2" xfId="4" applyFont="1" applyBorder="1"/>
    <xf numFmtId="0" fontId="27" fillId="0" borderId="6" xfId="4" applyFont="1" applyBorder="1"/>
    <xf numFmtId="0" fontId="27" fillId="0" borderId="11" xfId="4" applyFont="1" applyBorder="1"/>
    <xf numFmtId="0" fontId="27" fillId="0" borderId="12" xfId="4" applyFont="1" applyBorder="1"/>
    <xf numFmtId="0" fontId="25" fillId="0" borderId="15" xfId="4" applyFont="1" applyBorder="1"/>
    <xf numFmtId="0" fontId="27" fillId="0" borderId="15" xfId="4" applyFont="1" applyBorder="1"/>
    <xf numFmtId="0" fontId="27" fillId="0" borderId="0" xfId="4" applyFont="1" applyAlignment="1">
      <alignment horizontal="left" vertical="top"/>
    </xf>
    <xf numFmtId="0" fontId="25" fillId="0" borderId="0" xfId="4" applyFont="1"/>
    <xf numFmtId="0" fontId="25" fillId="0" borderId="0" xfId="4" quotePrefix="1" applyFont="1"/>
    <xf numFmtId="0" fontId="9" fillId="0" borderId="0" xfId="4" applyFont="1"/>
    <xf numFmtId="0" fontId="27" fillId="0" borderId="0" xfId="4" applyFont="1" applyAlignment="1">
      <alignment horizontal="center" vertical="top"/>
    </xf>
    <xf numFmtId="0" fontId="27" fillId="0" borderId="0" xfId="4" applyFont="1" applyAlignment="1">
      <alignment vertical="top"/>
    </xf>
    <xf numFmtId="0" fontId="29" fillId="0" borderId="0" xfId="4" applyFont="1"/>
    <xf numFmtId="0" fontId="20" fillId="0" borderId="0" xfId="4" applyFont="1" applyAlignment="1">
      <alignment vertical="top"/>
    </xf>
    <xf numFmtId="0" fontId="14" fillId="0" borderId="0" xfId="4" applyAlignment="1">
      <alignment vertical="top"/>
    </xf>
    <xf numFmtId="0" fontId="8" fillId="0" borderId="0" xfId="4" applyFont="1"/>
    <xf numFmtId="42" fontId="27" fillId="0" borderId="9" xfId="4" applyNumberFormat="1" applyFont="1" applyBorder="1" applyAlignment="1">
      <alignment horizontal="center"/>
    </xf>
    <xf numFmtId="0" fontId="27" fillId="0" borderId="10" xfId="4" applyFont="1" applyBorder="1" applyAlignment="1">
      <alignment horizontal="center"/>
    </xf>
    <xf numFmtId="0" fontId="7" fillId="0" borderId="0" xfId="4" applyFont="1"/>
    <xf numFmtId="0" fontId="6" fillId="0" borderId="0" xfId="4" applyFont="1"/>
    <xf numFmtId="0" fontId="5" fillId="0" borderId="0" xfId="4" applyFont="1"/>
    <xf numFmtId="165" fontId="15" fillId="0" borderId="0" xfId="4" applyNumberFormat="1" applyFont="1"/>
    <xf numFmtId="0" fontId="3" fillId="0" borderId="0" xfId="4" applyFont="1"/>
    <xf numFmtId="0" fontId="2" fillId="0" borderId="0" xfId="4" applyFont="1"/>
    <xf numFmtId="0" fontId="20" fillId="0" borderId="0" xfId="0" applyFont="1"/>
    <xf numFmtId="0" fontId="25" fillId="0" borderId="0" xfId="0" applyFont="1"/>
    <xf numFmtId="42" fontId="27" fillId="0" borderId="10" xfId="4" applyNumberFormat="1" applyFont="1" applyBorder="1" applyAlignment="1">
      <alignment horizontal="center"/>
    </xf>
    <xf numFmtId="0" fontId="31" fillId="0" borderId="0" xfId="5" applyFont="1"/>
    <xf numFmtId="0" fontId="32" fillId="0" borderId="0" xfId="5" applyFont="1" applyAlignment="1">
      <alignment horizontal="center"/>
    </xf>
    <xf numFmtId="0" fontId="33" fillId="0" borderId="0" xfId="5" applyFont="1"/>
    <xf numFmtId="0" fontId="33" fillId="0" borderId="0" xfId="5" quotePrefix="1" applyFont="1"/>
    <xf numFmtId="0" fontId="31" fillId="0" borderId="0" xfId="5" quotePrefix="1" applyFont="1"/>
    <xf numFmtId="0" fontId="33" fillId="0" borderId="0" xfId="5" applyFont="1" applyAlignment="1">
      <alignment horizontal="center"/>
    </xf>
    <xf numFmtId="15" fontId="33" fillId="0" borderId="0" xfId="5" quotePrefix="1" applyNumberFormat="1" applyFont="1"/>
    <xf numFmtId="0" fontId="34" fillId="0" borderId="0" xfId="5" applyFont="1"/>
    <xf numFmtId="0" fontId="33" fillId="0" borderId="0" xfId="5" quotePrefix="1" applyFont="1" applyAlignment="1">
      <alignment vertical="top"/>
    </xf>
    <xf numFmtId="0" fontId="33" fillId="0" borderId="0" xfId="5" applyFont="1" applyAlignment="1">
      <alignment vertical="top"/>
    </xf>
    <xf numFmtId="0" fontId="35" fillId="0" borderId="18" xfId="5" applyFont="1" applyBorder="1" applyAlignment="1">
      <alignment horizontal="center" vertical="center"/>
    </xf>
    <xf numFmtId="0" fontId="35" fillId="0" borderId="21" xfId="5" applyFont="1" applyBorder="1" applyAlignment="1">
      <alignment horizontal="center" vertical="center"/>
    </xf>
    <xf numFmtId="0" fontId="33" fillId="0" borderId="9" xfId="5" applyFont="1" applyBorder="1"/>
    <xf numFmtId="0" fontId="33" fillId="0" borderId="22" xfId="5" quotePrefix="1" applyFont="1" applyBorder="1" applyAlignment="1">
      <alignment horizontal="center"/>
    </xf>
    <xf numFmtId="0" fontId="33" fillId="0" borderId="23" xfId="5" applyFont="1" applyBorder="1"/>
    <xf numFmtId="0" fontId="33" fillId="0" borderId="24" xfId="5" applyFont="1" applyBorder="1"/>
    <xf numFmtId="166" fontId="33" fillId="0" borderId="25" xfId="5" applyNumberFormat="1" applyFont="1" applyBorder="1"/>
    <xf numFmtId="0" fontId="33" fillId="0" borderId="26" xfId="5" applyFont="1" applyBorder="1" applyAlignment="1">
      <alignment vertical="top" wrapText="1"/>
    </xf>
    <xf numFmtId="0" fontId="33" fillId="0" borderId="27" xfId="5" quotePrefix="1" applyFont="1" applyBorder="1" applyAlignment="1">
      <alignment horizontal="center"/>
    </xf>
    <xf numFmtId="0" fontId="33" fillId="0" borderId="10" xfId="5" applyFont="1" applyBorder="1"/>
    <xf numFmtId="0" fontId="33" fillId="0" borderId="27" xfId="5" applyFont="1" applyBorder="1" applyAlignment="1">
      <alignment horizontal="center"/>
    </xf>
    <xf numFmtId="0" fontId="33" fillId="0" borderId="0" xfId="5" applyFont="1" applyAlignment="1">
      <alignment horizontal="center" vertical="center"/>
    </xf>
    <xf numFmtId="166" fontId="33" fillId="0" borderId="0" xfId="5" applyNumberFormat="1" applyFont="1" applyAlignment="1">
      <alignment horizontal="center" vertical="center"/>
    </xf>
    <xf numFmtId="0" fontId="35" fillId="0" borderId="29" xfId="5" applyFont="1" applyBorder="1" applyAlignment="1">
      <alignment vertical="center"/>
    </xf>
    <xf numFmtId="0" fontId="37" fillId="0" borderId="31" xfId="5" applyFont="1" applyBorder="1" applyAlignment="1">
      <alignment horizontal="center" vertical="center" wrapText="1"/>
    </xf>
    <xf numFmtId="0" fontId="35" fillId="0" borderId="0" xfId="5" applyFont="1" applyAlignment="1">
      <alignment vertical="center"/>
    </xf>
    <xf numFmtId="0" fontId="35" fillId="0" borderId="0" xfId="5" applyFont="1" applyAlignment="1">
      <alignment horizontal="center" vertical="center"/>
    </xf>
    <xf numFmtId="166" fontId="35" fillId="0" borderId="0" xfId="5" applyNumberFormat="1" applyFont="1" applyAlignment="1">
      <alignment vertical="center"/>
    </xf>
    <xf numFmtId="0" fontId="38" fillId="0" borderId="0" xfId="5" applyFont="1"/>
    <xf numFmtId="0" fontId="39" fillId="0" borderId="0" xfId="5" applyFont="1"/>
    <xf numFmtId="0" fontId="38" fillId="0" borderId="0" xfId="5" applyFont="1" applyAlignment="1">
      <alignment horizontal="left"/>
    </xf>
    <xf numFmtId="0" fontId="18" fillId="0" borderId="0" xfId="0" applyFont="1"/>
    <xf numFmtId="0" fontId="18" fillId="3" borderId="0" xfId="0" applyFont="1" applyFill="1"/>
    <xf numFmtId="0" fontId="18" fillId="3" borderId="0" xfId="0" applyFont="1" applyFill="1" applyAlignment="1">
      <alignment vertical="top" wrapText="1"/>
    </xf>
    <xf numFmtId="0" fontId="16" fillId="0" borderId="13" xfId="4" quotePrefix="1" applyFont="1" applyBorder="1" applyAlignment="1">
      <alignment horizontal="center" vertical="top"/>
    </xf>
    <xf numFmtId="0" fontId="16" fillId="0" borderId="14" xfId="4" quotePrefix="1" applyFont="1" applyBorder="1" applyAlignment="1">
      <alignment horizontal="center" vertical="top"/>
    </xf>
    <xf numFmtId="0" fontId="11" fillId="2" borderId="3" xfId="4" applyFont="1" applyFill="1" applyBorder="1" applyAlignment="1">
      <alignment horizontal="center" vertical="center" wrapText="1"/>
    </xf>
    <xf numFmtId="0" fontId="11" fillId="2" borderId="4" xfId="4" applyFont="1" applyFill="1" applyBorder="1" applyAlignment="1">
      <alignment horizontal="center" vertical="center" wrapText="1"/>
    </xf>
    <xf numFmtId="0" fontId="16" fillId="0" borderId="13" xfId="4" quotePrefix="1" applyFont="1" applyBorder="1" applyAlignment="1">
      <alignment horizontal="center" vertical="center"/>
    </xf>
    <xf numFmtId="0" fontId="16" fillId="0" borderId="14" xfId="4" quotePrefix="1" applyFont="1" applyBorder="1" applyAlignment="1">
      <alignment horizontal="center" vertical="center"/>
    </xf>
    <xf numFmtId="0" fontId="16" fillId="0" borderId="3" xfId="4" quotePrefix="1" applyFont="1" applyBorder="1" applyAlignment="1">
      <alignment horizontal="center" vertical="center"/>
    </xf>
    <xf numFmtId="0" fontId="16" fillId="0" borderId="4" xfId="4" quotePrefix="1" applyFont="1" applyBorder="1" applyAlignment="1">
      <alignment horizontal="center" vertical="center"/>
    </xf>
    <xf numFmtId="0" fontId="31" fillId="0" borderId="0" xfId="0" applyFont="1"/>
    <xf numFmtId="0" fontId="33" fillId="0" borderId="28" xfId="0" applyFont="1" applyBorder="1" applyAlignment="1">
      <alignment vertical="top"/>
    </xf>
    <xf numFmtId="0" fontId="33" fillId="0" borderId="28" xfId="0" applyFont="1" applyBorder="1" applyAlignment="1">
      <alignment vertical="center"/>
    </xf>
    <xf numFmtId="0" fontId="33" fillId="0" borderId="0" xfId="5" applyFont="1" applyAlignment="1">
      <alignment horizontal="center" vertical="top" wrapText="1"/>
    </xf>
    <xf numFmtId="0" fontId="33" fillId="0" borderId="27" xfId="0" quotePrefix="1" applyFont="1" applyBorder="1" applyAlignment="1">
      <alignment horizontal="center"/>
    </xf>
    <xf numFmtId="0" fontId="33" fillId="0" borderId="9" xfId="0" applyFont="1" applyBorder="1"/>
    <xf numFmtId="0" fontId="33" fillId="0" borderId="0" xfId="0" applyFont="1" applyAlignment="1">
      <alignment horizontal="center" vertical="center"/>
    </xf>
    <xf numFmtId="166" fontId="33" fillId="0" borderId="0" xfId="0" applyNumberFormat="1" applyFont="1" applyAlignment="1">
      <alignment horizontal="center" vertical="center"/>
    </xf>
    <xf numFmtId="0" fontId="33" fillId="0" borderId="9" xfId="0" applyFont="1" applyBorder="1" applyAlignment="1">
      <alignment horizontal="right"/>
    </xf>
    <xf numFmtId="0" fontId="33" fillId="0" borderId="0" xfId="0" applyFont="1"/>
    <xf numFmtId="167" fontId="33" fillId="0" borderId="10" xfId="6" applyNumberFormat="1" applyFont="1" applyBorder="1"/>
    <xf numFmtId="0" fontId="33" fillId="0" borderId="27" xfId="0" applyFont="1" applyBorder="1" applyAlignment="1">
      <alignment horizontal="center"/>
    </xf>
    <xf numFmtId="0" fontId="1" fillId="0" borderId="0" xfId="4" applyFont="1"/>
    <xf numFmtId="49" fontId="18" fillId="3" borderId="0" xfId="0" applyNumberFormat="1" applyFont="1" applyFill="1"/>
    <xf numFmtId="0" fontId="20" fillId="0" borderId="0" xfId="4" quotePrefix="1" applyFont="1" applyAlignment="1">
      <alignment horizontal="left"/>
    </xf>
    <xf numFmtId="0" fontId="20" fillId="0" borderId="0" xfId="4" applyFont="1" applyAlignment="1">
      <alignment horizontal="left"/>
    </xf>
    <xf numFmtId="41" fontId="16" fillId="0" borderId="3" xfId="1" applyFont="1" applyBorder="1" applyAlignment="1">
      <alignment horizontal="right" vertical="center"/>
    </xf>
    <xf numFmtId="165" fontId="15" fillId="0" borderId="5" xfId="4" applyNumberFormat="1" applyFont="1" applyBorder="1" applyAlignment="1">
      <alignment horizontal="right"/>
    </xf>
    <xf numFmtId="0" fontId="38" fillId="5" borderId="0" xfId="5" applyFont="1" applyFill="1" applyAlignment="1">
      <alignment horizontal="center" vertical="top" wrapText="1"/>
    </xf>
    <xf numFmtId="0" fontId="40" fillId="5" borderId="0" xfId="5" quotePrefix="1" applyFont="1" applyFill="1"/>
    <xf numFmtId="0" fontId="38" fillId="5" borderId="0" xfId="5" applyFont="1" applyFill="1"/>
    <xf numFmtId="168" fontId="16" fillId="0" borderId="3" xfId="0" applyNumberFormat="1" applyFont="1" applyBorder="1" applyAlignment="1">
      <alignment horizontal="left" vertical="top" wrapText="1"/>
    </xf>
    <xf numFmtId="168" fontId="16" fillId="0" borderId="4" xfId="0" applyNumberFormat="1" applyFont="1" applyBorder="1" applyAlignment="1">
      <alignment horizontal="left" vertical="top" wrapText="1"/>
    </xf>
    <xf numFmtId="0" fontId="14" fillId="0" borderId="0" xfId="4" applyAlignment="1">
      <alignment wrapText="1"/>
    </xf>
    <xf numFmtId="0" fontId="4" fillId="0" borderId="0" xfId="4" applyFont="1" applyAlignment="1">
      <alignment wrapText="1"/>
    </xf>
    <xf numFmtId="0" fontId="7" fillId="0" borderId="0" xfId="4" applyFont="1" applyAlignment="1">
      <alignment wrapText="1"/>
    </xf>
    <xf numFmtId="169" fontId="20" fillId="0" borderId="7" xfId="4" applyNumberFormat="1" applyFont="1" applyBorder="1"/>
    <xf numFmtId="0" fontId="18" fillId="0" borderId="0" xfId="0" applyFont="1" applyAlignment="1">
      <alignment horizontal="right"/>
    </xf>
    <xf numFmtId="0" fontId="0" fillId="6" borderId="0" xfId="0" applyFill="1"/>
    <xf numFmtId="0" fontId="0" fillId="8" borderId="0" xfId="0" applyFill="1"/>
    <xf numFmtId="0" fontId="46" fillId="8" borderId="0" xfId="0" applyFont="1" applyFill="1" applyAlignment="1">
      <alignment horizontal="center" vertical="center"/>
    </xf>
    <xf numFmtId="0" fontId="47" fillId="9" borderId="35" xfId="0" applyFont="1" applyFill="1" applyBorder="1" applyAlignment="1">
      <alignment horizontal="center" vertical="center"/>
    </xf>
    <xf numFmtId="0" fontId="48" fillId="9" borderId="35" xfId="0" applyFont="1" applyFill="1" applyBorder="1" applyAlignment="1">
      <alignment horizontal="left" vertical="center" indent="1"/>
    </xf>
    <xf numFmtId="0" fontId="49" fillId="9" borderId="35" xfId="0" applyFont="1" applyFill="1" applyBorder="1" applyAlignment="1">
      <alignment horizontal="left" vertical="center" indent="1"/>
    </xf>
    <xf numFmtId="0" fontId="47" fillId="10" borderId="35" xfId="0" applyFont="1" applyFill="1" applyBorder="1" applyAlignment="1">
      <alignment horizontal="center" vertical="center"/>
    </xf>
    <xf numFmtId="0" fontId="48" fillId="10" borderId="35" xfId="0" applyFont="1" applyFill="1" applyBorder="1" applyAlignment="1">
      <alignment horizontal="left" vertical="center" indent="1"/>
    </xf>
    <xf numFmtId="0" fontId="49" fillId="10" borderId="35" xfId="0" applyFont="1" applyFill="1" applyBorder="1" applyAlignment="1">
      <alignment horizontal="left" vertical="center" indent="1"/>
    </xf>
    <xf numFmtId="0" fontId="51" fillId="6" borderId="0" xfId="0" applyFont="1" applyFill="1" applyAlignment="1">
      <alignment horizontal="center" vertical="center"/>
    </xf>
    <xf numFmtId="0" fontId="0" fillId="0" borderId="4" xfId="0" applyBorder="1"/>
    <xf numFmtId="0" fontId="52" fillId="0" borderId="7" xfId="0" applyFont="1" applyBorder="1" applyAlignment="1">
      <alignment horizontal="center" vertical="center" wrapText="1"/>
    </xf>
    <xf numFmtId="0" fontId="53" fillId="0" borderId="36" xfId="0" applyFont="1" applyBorder="1" applyAlignment="1">
      <alignment horizontal="left" vertical="center"/>
    </xf>
    <xf numFmtId="0" fontId="54" fillId="0" borderId="36" xfId="0" applyFont="1" applyBorder="1" applyAlignment="1">
      <alignment horizontal="center" vertical="center"/>
    </xf>
    <xf numFmtId="0" fontId="53" fillId="0" borderId="7" xfId="0" applyFont="1" applyBorder="1" applyAlignment="1">
      <alignment horizontal="center" vertical="center" wrapText="1"/>
    </xf>
    <xf numFmtId="168" fontId="16" fillId="0" borderId="7" xfId="0" applyNumberFormat="1" applyFont="1" applyBorder="1" applyAlignment="1">
      <alignment vertical="top" wrapText="1"/>
    </xf>
    <xf numFmtId="0" fontId="15" fillId="0" borderId="0" xfId="0" applyFont="1" applyAlignment="1">
      <alignment horizontal="center"/>
    </xf>
    <xf numFmtId="0" fontId="37" fillId="0" borderId="31" xfId="5" applyFont="1" applyBorder="1" applyAlignment="1">
      <alignment horizontal="left" vertical="center" wrapText="1"/>
    </xf>
    <xf numFmtId="3" fontId="16" fillId="0" borderId="3" xfId="1" applyNumberFormat="1" applyFont="1" applyBorder="1" applyAlignment="1">
      <alignment horizontal="right" vertical="center"/>
    </xf>
    <xf numFmtId="3" fontId="16" fillId="0" borderId="4" xfId="1" applyNumberFormat="1" applyFont="1" applyBorder="1" applyAlignment="1">
      <alignment horizontal="right" vertical="center"/>
    </xf>
    <xf numFmtId="3" fontId="16" fillId="0" borderId="5" xfId="1" applyNumberFormat="1" applyFont="1" applyBorder="1" applyAlignment="1">
      <alignment horizontal="right" vertical="center"/>
    </xf>
    <xf numFmtId="3" fontId="18" fillId="0" borderId="6" xfId="0" applyNumberFormat="1" applyFont="1" applyBorder="1" applyAlignment="1">
      <alignment horizontal="right"/>
    </xf>
    <xf numFmtId="0" fontId="16" fillId="0" borderId="0" xfId="4" applyFont="1" applyAlignment="1">
      <alignment vertical="center"/>
    </xf>
    <xf numFmtId="0" fontId="16" fillId="0" borderId="0" xfId="4" quotePrefix="1" applyFont="1" applyAlignment="1">
      <alignment horizontal="center" vertical="center"/>
    </xf>
    <xf numFmtId="0" fontId="11" fillId="2" borderId="0" xfId="4" applyFont="1" applyFill="1" applyAlignment="1">
      <alignment horizontal="center" vertical="center" wrapText="1"/>
    </xf>
    <xf numFmtId="0" fontId="16" fillId="0" borderId="0" xfId="4" quotePrefix="1" applyFont="1" applyAlignment="1">
      <alignment vertical="center"/>
    </xf>
    <xf numFmtId="0" fontId="16" fillId="0" borderId="0" xfId="4" quotePrefix="1" applyFont="1" applyAlignment="1">
      <alignment horizontal="center" vertical="top"/>
    </xf>
    <xf numFmtId="49" fontId="16" fillId="0" borderId="0" xfId="4" applyNumberFormat="1" applyFont="1" applyAlignment="1" applyProtection="1">
      <alignment vertical="center"/>
      <protection locked="0"/>
    </xf>
    <xf numFmtId="41" fontId="16" fillId="0" borderId="3" xfId="1" applyFont="1" applyBorder="1" applyAlignment="1">
      <alignment horizontal="right" vertical="top"/>
    </xf>
    <xf numFmtId="41" fontId="16" fillId="0" borderId="4" xfId="1" applyFont="1" applyBorder="1" applyAlignment="1">
      <alignment horizontal="right" vertical="top"/>
    </xf>
    <xf numFmtId="41" fontId="18" fillId="0" borderId="15" xfId="0" applyNumberFormat="1" applyFont="1" applyBorder="1" applyAlignment="1">
      <alignment horizontal="right"/>
    </xf>
    <xf numFmtId="41" fontId="16" fillId="0" borderId="4" xfId="1" applyFont="1" applyBorder="1" applyAlignment="1">
      <alignment horizontal="right" vertical="center"/>
    </xf>
    <xf numFmtId="168" fontId="16" fillId="0" borderId="7" xfId="0" applyNumberFormat="1" applyFont="1" applyBorder="1" applyAlignment="1">
      <alignment horizontal="left" vertical="top" wrapText="1"/>
    </xf>
    <xf numFmtId="0" fontId="0" fillId="0" borderId="4" xfId="0" applyBorder="1"/>
    <xf numFmtId="41" fontId="41" fillId="0" borderId="7" xfId="1" applyFont="1" applyBorder="1" applyAlignment="1">
      <alignment horizontal="center" vertical="top" wrapText="1"/>
    </xf>
    <xf numFmtId="41" fontId="42" fillId="0" borderId="7" xfId="1" applyFont="1" applyBorder="1" applyAlignment="1">
      <alignment horizontal="center" vertical="top" wrapText="1"/>
    </xf>
    <xf numFmtId="0" fontId="0" fillId="0" borderId="4" xfId="0" applyBorder="1" applyAlignment="1">
      <alignment horizontal="center"/>
    </xf>
    <xf numFmtId="0" fontId="16" fillId="0" borderId="11" xfId="0" applyFont="1" applyBorder="1" applyAlignment="1">
      <alignment horizontal="center" vertical="top"/>
    </xf>
    <xf numFmtId="0" fontId="0" fillId="0" borderId="2" xfId="0" applyBorder="1"/>
    <xf numFmtId="0" fontId="18" fillId="0" borderId="3" xfId="0" applyFont="1" applyBorder="1" applyAlignment="1">
      <alignment horizontal="center" vertical="center" wrapText="1"/>
    </xf>
    <xf numFmtId="0" fontId="0" fillId="0" borderId="5" xfId="0" applyBorder="1"/>
    <xf numFmtId="0" fontId="16" fillId="0" borderId="7" xfId="0" applyFont="1" applyBorder="1" applyAlignment="1">
      <alignment horizontal="center" vertical="top"/>
    </xf>
    <xf numFmtId="0" fontId="11" fillId="2" borderId="7" xfId="4" applyFont="1" applyFill="1" applyBorder="1" applyAlignment="1">
      <alignment horizontal="center" vertical="center" wrapText="1"/>
    </xf>
    <xf numFmtId="1" fontId="16" fillId="0" borderId="7" xfId="0" applyNumberFormat="1" applyFont="1" applyBorder="1" applyAlignment="1">
      <alignment horizontal="center" vertical="top" wrapText="1"/>
    </xf>
    <xf numFmtId="0" fontId="16" fillId="0" borderId="7" xfId="0" applyFont="1" applyBorder="1" applyAlignment="1">
      <alignment horizontal="center" vertical="top" wrapText="1"/>
    </xf>
    <xf numFmtId="0" fontId="16" fillId="0" borderId="15" xfId="4" quotePrefix="1" applyFont="1" applyBorder="1" applyAlignment="1">
      <alignment horizontal="center" vertical="center"/>
    </xf>
    <xf numFmtId="0" fontId="0" fillId="0" borderId="14" xfId="0" applyBorder="1"/>
    <xf numFmtId="41" fontId="16" fillId="0" borderId="7" xfId="1" applyFont="1" applyBorder="1" applyAlignment="1">
      <alignment horizontal="center" vertical="top"/>
    </xf>
    <xf numFmtId="41" fontId="18" fillId="0" borderId="7" xfId="1" applyFont="1" applyBorder="1" applyAlignment="1">
      <alignment horizontal="center" vertical="center" wrapText="1"/>
    </xf>
    <xf numFmtId="0" fontId="0" fillId="0" borderId="12" xfId="0" applyBorder="1"/>
    <xf numFmtId="0" fontId="18" fillId="0" borderId="7" xfId="0" applyFont="1" applyBorder="1" applyAlignment="1">
      <alignment horizontal="center" vertical="center" wrapText="1"/>
    </xf>
    <xf numFmtId="0" fontId="0" fillId="0" borderId="8" xfId="0" applyBorder="1"/>
    <xf numFmtId="0" fontId="0" fillId="0" borderId="9" xfId="0" applyBorder="1"/>
    <xf numFmtId="0" fontId="0" fillId="0" borderId="10" xfId="0" applyBorder="1"/>
    <xf numFmtId="0" fontId="0" fillId="0" borderId="6" xfId="0" applyBorder="1"/>
    <xf numFmtId="0" fontId="16" fillId="0" borderId="0" xfId="4" quotePrefix="1" applyFont="1" applyAlignment="1">
      <alignment horizontal="center" vertical="center"/>
    </xf>
    <xf numFmtId="0" fontId="0" fillId="0" borderId="0" xfId="0"/>
    <xf numFmtId="41" fontId="16" fillId="0" borderId="7" xfId="1" applyFont="1" applyBorder="1" applyAlignment="1">
      <alignment horizontal="center" vertical="top" wrapText="1"/>
    </xf>
    <xf numFmtId="49" fontId="16" fillId="0" borderId="11" xfId="0" applyNumberFormat="1" applyFont="1" applyBorder="1" applyAlignment="1">
      <alignment horizontal="left" vertical="center" wrapText="1"/>
    </xf>
    <xf numFmtId="0" fontId="11" fillId="2" borderId="0" xfId="4" applyFont="1" applyFill="1" applyAlignment="1">
      <alignment horizontal="center" vertical="center" wrapText="1"/>
    </xf>
    <xf numFmtId="0" fontId="0" fillId="0" borderId="5" xfId="0" applyBorder="1" applyAlignment="1">
      <alignment horizontal="center"/>
    </xf>
    <xf numFmtId="41" fontId="16" fillId="0" borderId="7" xfId="1" applyFont="1" applyBorder="1" applyAlignment="1">
      <alignment horizontal="right" vertical="top"/>
    </xf>
    <xf numFmtId="0" fontId="0" fillId="0" borderId="4" xfId="0" applyBorder="1" applyAlignment="1">
      <alignment horizontal="right"/>
    </xf>
    <xf numFmtId="0" fontId="18" fillId="0" borderId="3" xfId="0" applyFont="1" applyBorder="1" applyAlignment="1">
      <alignment horizontal="center" vertical="center"/>
    </xf>
    <xf numFmtId="41" fontId="18" fillId="0" borderId="3" xfId="1" applyFont="1" applyBorder="1" applyAlignment="1">
      <alignment horizontal="center" vertical="center" wrapText="1"/>
    </xf>
    <xf numFmtId="41" fontId="18" fillId="0" borderId="8" xfId="1" applyFont="1" applyBorder="1" applyAlignment="1">
      <alignment horizontal="center" vertical="center" wrapText="1"/>
    </xf>
    <xf numFmtId="0" fontId="18" fillId="3" borderId="0" xfId="0" applyFont="1" applyFill="1" applyAlignment="1">
      <alignment horizontal="center"/>
    </xf>
    <xf numFmtId="0" fontId="17" fillId="0" borderId="0" xfId="0" applyFont="1"/>
    <xf numFmtId="0" fontId="18" fillId="0" borderId="7" xfId="0" applyFont="1" applyBorder="1" applyAlignment="1">
      <alignment horizontal="center" vertical="center"/>
    </xf>
    <xf numFmtId="0" fontId="18" fillId="0" borderId="0" xfId="0" applyFont="1" applyAlignment="1">
      <alignment horizontal="right"/>
    </xf>
    <xf numFmtId="0" fontId="18" fillId="3" borderId="0" xfId="0" applyFont="1" applyFill="1" applyAlignment="1">
      <alignment horizontal="center" vertical="top" wrapText="1"/>
    </xf>
    <xf numFmtId="3" fontId="18" fillId="0" borderId="7" xfId="0" applyNumberFormat="1" applyFont="1" applyBorder="1" applyAlignment="1">
      <alignment horizontal="center"/>
    </xf>
    <xf numFmtId="0" fontId="0" fillId="0" borderId="15" xfId="0" applyBorder="1" applyAlignment="1">
      <alignment horizontal="center"/>
    </xf>
    <xf numFmtId="0" fontId="0" fillId="0" borderId="12" xfId="0" applyBorder="1" applyAlignment="1">
      <alignment horizontal="center"/>
    </xf>
    <xf numFmtId="0" fontId="17" fillId="4" borderId="0" xfId="0" applyFont="1" applyFill="1" applyAlignment="1">
      <alignment horizontal="justify" vertical="top" wrapText="1"/>
    </xf>
    <xf numFmtId="0" fontId="0" fillId="0" borderId="15" xfId="0" applyBorder="1"/>
    <xf numFmtId="0" fontId="17" fillId="0" borderId="0" xfId="0" applyFont="1" applyAlignment="1">
      <alignment horizontal="justify" vertical="top" wrapText="1"/>
    </xf>
    <xf numFmtId="0" fontId="18" fillId="0" borderId="0" xfId="0" applyFont="1" applyAlignment="1">
      <alignment horizontal="center"/>
    </xf>
    <xf numFmtId="0" fontId="18" fillId="0" borderId="7" xfId="0" applyFont="1" applyBorder="1" applyAlignment="1">
      <alignment horizontal="center"/>
    </xf>
    <xf numFmtId="0" fontId="0" fillId="0" borderId="13" xfId="0" applyBorder="1"/>
    <xf numFmtId="0" fontId="18" fillId="3" borderId="0" xfId="0" applyFont="1" applyFill="1" applyAlignment="1">
      <alignment horizontal="left"/>
    </xf>
    <xf numFmtId="0" fontId="44" fillId="6" borderId="0" xfId="0" applyFont="1" applyFill="1" applyAlignment="1">
      <alignment horizontal="center" vertical="center"/>
    </xf>
    <xf numFmtId="0" fontId="46" fillId="8" borderId="0" xfId="0" applyFont="1" applyFill="1" applyAlignment="1">
      <alignment horizontal="center" vertical="center"/>
    </xf>
    <xf numFmtId="0" fontId="45" fillId="7" borderId="0" xfId="0" applyFont="1" applyFill="1" applyAlignment="1">
      <alignment horizontal="center" vertical="center"/>
    </xf>
    <xf numFmtId="0" fontId="50" fillId="0" borderId="0" xfId="0" applyFont="1" applyAlignment="1">
      <alignment horizontal="center" vertical="center"/>
    </xf>
    <xf numFmtId="0" fontId="43" fillId="6" borderId="0" xfId="0" applyFont="1" applyFill="1" applyAlignment="1">
      <alignment horizontal="center" vertical="center"/>
    </xf>
    <xf numFmtId="0" fontId="27" fillId="0" borderId="0" xfId="4" applyFont="1" applyAlignment="1">
      <alignment horizontal="center"/>
    </xf>
    <xf numFmtId="0" fontId="15" fillId="0" borderId="0" xfId="4" applyFont="1"/>
    <xf numFmtId="0" fontId="33" fillId="0" borderId="28" xfId="5" applyFont="1" applyBorder="1" applyAlignment="1">
      <alignment horizontal="center" vertical="top" wrapText="1"/>
    </xf>
    <xf numFmtId="0" fontId="0" fillId="0" borderId="28" xfId="0" applyBorder="1"/>
    <xf numFmtId="0" fontId="33" fillId="0" borderId="10" xfId="5" applyFont="1" applyBorder="1" applyAlignment="1">
      <alignment horizontal="left"/>
    </xf>
    <xf numFmtId="0" fontId="31" fillId="0" borderId="0" xfId="5" applyFont="1"/>
    <xf numFmtId="0" fontId="36" fillId="0" borderId="33" xfId="5" applyFont="1" applyBorder="1" applyAlignment="1">
      <alignment horizontal="center" vertical="center"/>
    </xf>
    <xf numFmtId="0" fontId="0" fillId="0" borderId="16" xfId="0" applyBorder="1"/>
    <xf numFmtId="0" fontId="0" fillId="0" borderId="30" xfId="0" applyBorder="1"/>
    <xf numFmtId="0" fontId="35" fillId="0" borderId="32" xfId="5" applyFont="1" applyBorder="1" applyAlignment="1">
      <alignment horizontal="center" vertical="center" wrapText="1"/>
    </xf>
    <xf numFmtId="0" fontId="0" fillId="0" borderId="19" xfId="0" applyBorder="1"/>
    <xf numFmtId="0" fontId="0" fillId="0" borderId="20" xfId="0" applyBorder="1"/>
    <xf numFmtId="0" fontId="15" fillId="0" borderId="0" xfId="4" applyFont="1" applyAlignment="1">
      <alignment horizontal="center"/>
    </xf>
    <xf numFmtId="0" fontId="27" fillId="0" borderId="0" xfId="4" applyFont="1"/>
    <xf numFmtId="0" fontId="33" fillId="0" borderId="28" xfId="5" applyFont="1" applyBorder="1" applyAlignment="1">
      <alignment horizontal="center" vertical="center" wrapText="1"/>
    </xf>
    <xf numFmtId="0" fontId="25" fillId="0" borderId="0" xfId="4" applyFont="1" applyAlignment="1">
      <alignment horizontal="center"/>
    </xf>
    <xf numFmtId="0" fontId="14" fillId="0" borderId="0" xfId="4"/>
    <xf numFmtId="166" fontId="33" fillId="0" borderId="5" xfId="5" applyNumberFormat="1" applyFont="1" applyBorder="1" applyAlignment="1">
      <alignment horizontal="center"/>
    </xf>
    <xf numFmtId="0" fontId="32" fillId="0" borderId="0" xfId="0" applyFont="1" applyAlignment="1">
      <alignment horizontal="center"/>
    </xf>
    <xf numFmtId="0" fontId="31" fillId="0" borderId="0" xfId="0" applyFont="1"/>
    <xf numFmtId="0" fontId="28" fillId="0" borderId="0" xfId="4" applyFont="1" applyAlignment="1">
      <alignment horizontal="center"/>
    </xf>
    <xf numFmtId="0" fontId="32" fillId="0" borderId="0" xfId="5" applyFont="1" applyAlignment="1">
      <alignment horizontal="center"/>
    </xf>
    <xf numFmtId="166" fontId="35" fillId="0" borderId="33" xfId="5" applyNumberFormat="1" applyFont="1" applyBorder="1" applyAlignment="1">
      <alignment horizontal="center" vertical="center"/>
    </xf>
    <xf numFmtId="0" fontId="35" fillId="0" borderId="32" xfId="5" applyFont="1" applyBorder="1" applyAlignment="1">
      <alignment horizontal="center" vertical="center"/>
    </xf>
    <xf numFmtId="0" fontId="30" fillId="0" borderId="0" xfId="0" applyFont="1" applyAlignment="1">
      <alignment horizontal="center"/>
    </xf>
    <xf numFmtId="168" fontId="16" fillId="0" borderId="7" xfId="0" applyNumberFormat="1" applyFont="1" applyBorder="1" applyAlignment="1">
      <alignment horizontal="left" vertical="top"/>
    </xf>
    <xf numFmtId="0" fontId="19" fillId="0" borderId="7" xfId="0" applyFont="1" applyBorder="1" applyAlignment="1">
      <alignment horizontal="left" vertical="top"/>
    </xf>
    <xf numFmtId="0" fontId="16" fillId="0" borderId="7" xfId="0" applyFont="1" applyBorder="1" applyAlignment="1">
      <alignment horizontal="left" vertical="top"/>
    </xf>
    <xf numFmtId="3" fontId="18" fillId="0" borderId="7" xfId="0" applyNumberFormat="1" applyFont="1" applyBorder="1" applyAlignment="1">
      <alignment horizontal="right"/>
    </xf>
    <xf numFmtId="3" fontId="0" fillId="0" borderId="15" xfId="0" applyNumberFormat="1" applyBorder="1" applyAlignment="1">
      <alignment horizontal="right"/>
    </xf>
    <xf numFmtId="3" fontId="0" fillId="0" borderId="12" xfId="0" applyNumberFormat="1" applyBorder="1" applyAlignment="1">
      <alignment horizontal="right"/>
    </xf>
    <xf numFmtId="0" fontId="18" fillId="0" borderId="0" xfId="0" applyFont="1" applyAlignment="1">
      <alignment horizontal="center" vertical="center"/>
    </xf>
    <xf numFmtId="0" fontId="17" fillId="0" borderId="0" xfId="0" applyFont="1" applyAlignment="1">
      <alignment vertical="center"/>
    </xf>
    <xf numFmtId="0" fontId="27" fillId="0" borderId="0" xfId="4" applyFont="1" applyAlignment="1">
      <alignment horizontal="justify" vertical="top" wrapText="1"/>
    </xf>
    <xf numFmtId="0" fontId="27" fillId="0" borderId="0" xfId="4" applyFont="1" applyAlignment="1">
      <alignment vertical="top"/>
    </xf>
    <xf numFmtId="0" fontId="15" fillId="0" borderId="5" xfId="4" applyFont="1" applyBorder="1" applyAlignment="1">
      <alignment horizontal="right" vertical="center" wrapText="1"/>
    </xf>
    <xf numFmtId="0" fontId="23" fillId="0" borderId="5" xfId="4" applyFont="1" applyBorder="1" applyAlignment="1">
      <alignment horizontal="left" vertical="center" wrapText="1"/>
    </xf>
    <xf numFmtId="164" fontId="15" fillId="0" borderId="0" xfId="4" applyNumberFormat="1" applyFont="1" applyAlignment="1">
      <alignment horizontal="center" vertical="center"/>
    </xf>
    <xf numFmtId="42" fontId="27" fillId="0" borderId="7" xfId="4" applyNumberFormat="1" applyFont="1" applyBorder="1" applyAlignment="1">
      <alignment horizontal="center"/>
    </xf>
    <xf numFmtId="0" fontId="27" fillId="0" borderId="5" xfId="4" applyFont="1" applyBorder="1" applyAlignment="1">
      <alignment horizontal="center"/>
    </xf>
    <xf numFmtId="0" fontId="15" fillId="0" borderId="4" xfId="4" applyFont="1" applyBorder="1" applyAlignment="1">
      <alignment horizontal="center" vertical="center" wrapText="1"/>
    </xf>
    <xf numFmtId="42" fontId="27" fillId="0" borderId="5" xfId="4" applyNumberFormat="1" applyFont="1" applyBorder="1" applyAlignment="1">
      <alignment horizontal="center"/>
    </xf>
    <xf numFmtId="0" fontId="15" fillId="0" borderId="5" xfId="4" applyFont="1" applyBorder="1" applyAlignment="1">
      <alignment horizontal="center" vertical="center" wrapText="1"/>
    </xf>
    <xf numFmtId="0" fontId="27" fillId="0" borderId="3" xfId="4" applyFont="1" applyBorder="1" applyAlignment="1">
      <alignment horizontal="center" vertical="center"/>
    </xf>
    <xf numFmtId="0" fontId="20" fillId="0" borderId="7" xfId="4" applyFont="1" applyBorder="1" applyAlignment="1">
      <alignment horizontal="center"/>
    </xf>
    <xf numFmtId="0" fontId="27" fillId="0" borderId="3" xfId="4" applyFont="1" applyBorder="1" applyAlignment="1">
      <alignment horizontal="center"/>
    </xf>
    <xf numFmtId="0" fontId="26" fillId="0" borderId="0" xfId="4" applyFont="1"/>
    <xf numFmtId="0" fontId="27" fillId="0" borderId="7" xfId="4" applyFont="1" applyBorder="1" applyAlignment="1">
      <alignment horizontal="left" vertical="center"/>
    </xf>
    <xf numFmtId="0" fontId="27" fillId="0" borderId="7" xfId="4" applyFont="1" applyBorder="1" applyAlignment="1">
      <alignment horizontal="center" vertical="center"/>
    </xf>
    <xf numFmtId="0" fontId="51" fillId="6" borderId="0" xfId="4" applyFont="1" applyFill="1" applyAlignment="1">
      <alignment horizontal="center" vertical="center"/>
    </xf>
    <xf numFmtId="0" fontId="20" fillId="0" borderId="0" xfId="4" applyFont="1" applyAlignment="1">
      <alignment horizontal="left"/>
    </xf>
    <xf numFmtId="164" fontId="20" fillId="0" borderId="0" xfId="4" applyNumberFormat="1" applyFont="1" applyAlignment="1">
      <alignment horizontal="left"/>
    </xf>
    <xf numFmtId="164" fontId="20" fillId="0" borderId="0" xfId="4" applyNumberFormat="1" applyFont="1" applyAlignment="1">
      <alignment horizontal="center"/>
    </xf>
    <xf numFmtId="0" fontId="20" fillId="0" borderId="10" xfId="4" applyFont="1" applyBorder="1" applyAlignment="1">
      <alignment horizontal="left"/>
    </xf>
    <xf numFmtId="0" fontId="24" fillId="0" borderId="0" xfId="4" applyFont="1" applyAlignment="1">
      <alignment horizontal="left" vertical="top" wrapText="1"/>
    </xf>
    <xf numFmtId="0" fontId="20" fillId="0" borderId="7" xfId="4" applyFont="1" applyBorder="1" applyAlignment="1">
      <alignment horizontal="center" vertical="center"/>
    </xf>
    <xf numFmtId="0" fontId="28" fillId="0" borderId="0" xfId="4" applyFont="1" applyAlignment="1">
      <alignment horizontal="center" vertical="top"/>
    </xf>
    <xf numFmtId="0" fontId="14" fillId="0" borderId="0" xfId="4" applyAlignment="1">
      <alignment vertical="top"/>
    </xf>
    <xf numFmtId="168" fontId="15" fillId="0" borderId="0" xfId="4" applyNumberFormat="1" applyFont="1" applyAlignment="1">
      <alignment horizontal="left"/>
    </xf>
    <xf numFmtId="0" fontId="20" fillId="0" borderId="3" xfId="4" applyFont="1" applyBorder="1" applyAlignment="1">
      <alignment horizontal="left" vertical="center" wrapText="1"/>
    </xf>
    <xf numFmtId="0" fontId="22" fillId="0" borderId="34" xfId="4" applyFont="1" applyBorder="1" applyAlignment="1">
      <alignment horizontal="left" vertical="center" wrapText="1"/>
    </xf>
    <xf numFmtId="0" fontId="0" fillId="0" borderId="17" xfId="0" applyBorder="1"/>
    <xf numFmtId="168" fontId="27" fillId="0" borderId="0" xfId="4" applyNumberFormat="1" applyFont="1" applyAlignment="1">
      <alignment horizontal="left"/>
    </xf>
    <xf numFmtId="164" fontId="15" fillId="0" borderId="0" xfId="4" applyNumberFormat="1" applyFont="1" applyAlignment="1">
      <alignment horizontal="center"/>
    </xf>
    <xf numFmtId="0" fontId="29" fillId="0" borderId="0" xfId="4" applyFont="1"/>
    <xf numFmtId="0" fontId="22" fillId="0" borderId="34" xfId="4" applyFont="1" applyBorder="1" applyAlignment="1">
      <alignment horizontal="left" vertical="center"/>
    </xf>
    <xf numFmtId="0" fontId="20" fillId="0" borderId="0" xfId="4" quotePrefix="1" applyFont="1" applyAlignment="1">
      <alignment horizontal="left"/>
    </xf>
    <xf numFmtId="49" fontId="20" fillId="0" borderId="10" xfId="4" applyNumberFormat="1" applyFont="1" applyBorder="1" applyAlignment="1">
      <alignment horizontal="left"/>
    </xf>
  </cellXfs>
  <cellStyles count="7">
    <cellStyle name="Comma" xfId="6" builtinId="3"/>
    <cellStyle name="Comma [0]" xfId="1" builtinId="6"/>
    <cellStyle name="Normal" xfId="0" builtinId="0"/>
    <cellStyle name="Normal 2" xfId="5" xr:uid="{00000000-0005-0000-0000-000005000000}"/>
    <cellStyle name="Normal 3 3" xfId="2" xr:uid="{00000000-0005-0000-0000-000002000000}"/>
    <cellStyle name="Normal 5" xfId="3" xr:uid="{00000000-0005-0000-0000-000003000000}"/>
    <cellStyle name="Normal 5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28572</xdr:colOff>
      <xdr:row>0</xdr:row>
      <xdr:rowOff>19049</xdr:rowOff>
    </xdr:from>
    <xdr:to>
      <xdr:col>2</xdr:col>
      <xdr:colOff>1123949</xdr:colOff>
      <xdr:row>6</xdr:row>
      <xdr:rowOff>10583</xdr:rowOff>
    </xdr:to>
    <xdr:pic>
      <xdr:nvPicPr>
        <xdr:cNvPr id="5" name="Picture 4">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cstate="print"/>
        <a:stretch>
          <a:fillRect/>
        </a:stretch>
      </xdr:blipFill>
      <xdr:spPr bwMode="auto">
        <a:xfrm>
          <a:off x="398989" y="19049"/>
          <a:ext cx="1095377" cy="1229784"/>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2035967</xdr:colOff>
      <xdr:row>28</xdr:row>
      <xdr:rowOff>166687</xdr:rowOff>
    </xdr:from>
    <xdr:to>
      <xdr:col>4</xdr:col>
      <xdr:colOff>833436</xdr:colOff>
      <xdr:row>38</xdr:row>
      <xdr:rowOff>35719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393155" y="6238875"/>
          <a:ext cx="1654969" cy="1654969"/>
        </a:xfrm>
        <a:prstGeom prst="rect">
          <a:avLst/>
        </a:prstGeom>
        <a:ln>
          <a:prstDash val="solid"/>
        </a:ln>
      </xdr:spPr>
    </xdr:pic>
    <xdr:clientData/>
  </xdr:twoCellAnchor>
  <xdr:twoCellAnchor editAs="oneCell">
    <xdr:from>
      <xdr:col>12</xdr:col>
      <xdr:colOff>0</xdr:colOff>
      <xdr:row>29</xdr:row>
      <xdr:rowOff>0</xdr:rowOff>
    </xdr:from>
    <xdr:to>
      <xdr:col>14</xdr:col>
      <xdr:colOff>631031</xdr:colOff>
      <xdr:row>41</xdr:row>
      <xdr:rowOff>13068</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11227594" y="5107781"/>
          <a:ext cx="2381250" cy="2156193"/>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055" name="Picture 0" descr="GARUDA1 (1).JPG">
          <a:extLst>
            <a:ext uri="{FF2B5EF4-FFF2-40B4-BE49-F238E27FC236}">
              <a16:creationId xmlns:a16="http://schemas.microsoft.com/office/drawing/2014/main" id="{00000000-0008-0000-0400-000007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33724" y="239184"/>
          <a:ext cx="600075" cy="719667"/>
        </a:xfrm>
        <a:prstGeom prst="rect">
          <a:avLst/>
        </a:prstGeom>
        <a:noFill/>
        <a:ln>
          <a:noFill/>
          <a:prstDash val="solid"/>
        </a:ln>
      </xdr:spPr>
    </xdr:pic>
    <xdr:clientData/>
  </xdr:twoCellAnchor>
  <xdr:twoCellAnchor editAs="oneCell">
    <xdr:from>
      <xdr:col>0</xdr:col>
      <xdr:colOff>172507</xdr:colOff>
      <xdr:row>88</xdr:row>
      <xdr:rowOff>152400</xdr:rowOff>
    </xdr:from>
    <xdr:to>
      <xdr:col>3</xdr:col>
      <xdr:colOff>200024</xdr:colOff>
      <xdr:row>93</xdr:row>
      <xdr:rowOff>85724</xdr:rowOff>
    </xdr:to>
    <xdr:pic>
      <xdr:nvPicPr>
        <xdr:cNvPr id="6" name="Picture 5">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2" cstate="print"/>
        <a:stretch>
          <a:fillRect/>
        </a:stretch>
      </xdr:blipFill>
      <xdr:spPr bwMode="auto">
        <a:xfrm>
          <a:off x="172507" y="17411700"/>
          <a:ext cx="922867" cy="933450"/>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100542</xdr:rowOff>
    </xdr:to>
    <xdr:pic>
      <xdr:nvPicPr>
        <xdr:cNvPr id="6" name="Picture 5">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2" cstate="print"/>
        <a:stretch>
          <a:fillRect/>
        </a:stretch>
      </xdr:blipFill>
      <xdr:spPr bwMode="auto">
        <a:xfrm>
          <a:off x="172507" y="17411700"/>
          <a:ext cx="922867" cy="923925"/>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100541</xdr:rowOff>
    </xdr:to>
    <xdr:pic>
      <xdr:nvPicPr>
        <xdr:cNvPr id="6" name="Picture 5">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2" cstate="print"/>
        <a:stretch>
          <a:fillRect/>
        </a:stretch>
      </xdr:blipFill>
      <xdr:spPr bwMode="auto">
        <a:xfrm>
          <a:off x="172507" y="17411700"/>
          <a:ext cx="922867" cy="923925"/>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100541</xdr:rowOff>
    </xdr:to>
    <xdr:pic>
      <xdr:nvPicPr>
        <xdr:cNvPr id="5" name="Picture 4">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2" cstate="print"/>
        <a:stretch>
          <a:fillRect/>
        </a:stretch>
      </xdr:blipFill>
      <xdr:spPr bwMode="auto">
        <a:xfrm>
          <a:off x="172507" y="17411700"/>
          <a:ext cx="922867" cy="923925"/>
        </a:xfrm>
        <a:prstGeom prst="rect">
          <a:avLst/>
        </a:prstGeom>
        <a:noFill/>
        <a:ln>
          <a:no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62441</xdr:rowOff>
    </xdr:to>
    <xdr:pic>
      <xdr:nvPicPr>
        <xdr:cNvPr id="5" name="Picture 4">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2" cstate="print"/>
        <a:stretch>
          <a:fillRect/>
        </a:stretch>
      </xdr:blipFill>
      <xdr:spPr bwMode="auto">
        <a:xfrm>
          <a:off x="172507" y="17411700"/>
          <a:ext cx="922867" cy="923925"/>
        </a:xfrm>
        <a:prstGeom prst="rect">
          <a:avLst/>
        </a:prstGeom>
        <a:noFill/>
        <a:ln>
          <a:noFill/>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62441</xdr:rowOff>
    </xdr:to>
    <xdr:pic>
      <xdr:nvPicPr>
        <xdr:cNvPr id="5" name="Picture 4">
          <a:extLst>
            <a:ext uri="{FF2B5EF4-FFF2-40B4-BE49-F238E27FC236}">
              <a16:creationId xmlns:a16="http://schemas.microsoft.com/office/drawing/2014/main" id="{00000000-0008-0000-0900-000005000000}"/>
            </a:ext>
          </a:extLst>
        </xdr:cNvPr>
        <xdr:cNvPicPr/>
      </xdr:nvPicPr>
      <xdr:blipFill>
        <a:blip xmlns:r="http://schemas.openxmlformats.org/officeDocument/2006/relationships" r:embed="rId2" cstate="print"/>
        <a:stretch>
          <a:fillRect/>
        </a:stretch>
      </xdr:blipFill>
      <xdr:spPr bwMode="auto">
        <a:xfrm>
          <a:off x="172507" y="17411700"/>
          <a:ext cx="922867" cy="923925"/>
        </a:xfrm>
        <a:prstGeom prst="rect">
          <a:avLst/>
        </a:prstGeom>
        <a:noFill/>
        <a:ln>
          <a:noFill/>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62441</xdr:rowOff>
    </xdr:to>
    <xdr:pic>
      <xdr:nvPicPr>
        <xdr:cNvPr id="5" name="Picture 4">
          <a:extLst>
            <a:ext uri="{FF2B5EF4-FFF2-40B4-BE49-F238E27FC236}">
              <a16:creationId xmlns:a16="http://schemas.microsoft.com/office/drawing/2014/main" id="{00000000-0008-0000-0A00-000005000000}"/>
            </a:ext>
          </a:extLst>
        </xdr:cNvPr>
        <xdr:cNvPicPr/>
      </xdr:nvPicPr>
      <xdr:blipFill>
        <a:blip xmlns:r="http://schemas.openxmlformats.org/officeDocument/2006/relationships" r:embed="rId2" cstate="print"/>
        <a:stretch>
          <a:fillRect/>
        </a:stretch>
      </xdr:blipFill>
      <xdr:spPr bwMode="auto">
        <a:xfrm>
          <a:off x="172507" y="17411700"/>
          <a:ext cx="922867" cy="923925"/>
        </a:xfrm>
        <a:prstGeom prst="rect">
          <a:avLst/>
        </a:prstGeom>
        <a:noFill/>
        <a:ln>
          <a:noFill/>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62441</xdr:rowOff>
    </xdr:to>
    <xdr:pic>
      <xdr:nvPicPr>
        <xdr:cNvPr id="4" name="Picture 3">
          <a:extLst>
            <a:ext uri="{FF2B5EF4-FFF2-40B4-BE49-F238E27FC236}">
              <a16:creationId xmlns:a16="http://schemas.microsoft.com/office/drawing/2014/main" id="{00000000-0008-0000-0B00-000004000000}"/>
            </a:ext>
          </a:extLst>
        </xdr:cNvPr>
        <xdr:cNvPicPr/>
      </xdr:nvPicPr>
      <xdr:blipFill>
        <a:blip xmlns:r="http://schemas.openxmlformats.org/officeDocument/2006/relationships" r:embed="rId2" cstate="print"/>
        <a:stretch>
          <a:fillRect/>
        </a:stretch>
      </xdr:blipFill>
      <xdr:spPr bwMode="auto">
        <a:xfrm>
          <a:off x="172507" y="17392650"/>
          <a:ext cx="922867" cy="900641"/>
        </a:xfrm>
        <a:prstGeom prst="rect">
          <a:avLst/>
        </a:prstGeom>
        <a:noFill/>
        <a:ln>
          <a:noFill/>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62441</xdr:rowOff>
    </xdr:to>
    <xdr:pic>
      <xdr:nvPicPr>
        <xdr:cNvPr id="4" name="Picture 3">
          <a:extLst>
            <a:ext uri="{FF2B5EF4-FFF2-40B4-BE49-F238E27FC236}">
              <a16:creationId xmlns:a16="http://schemas.microsoft.com/office/drawing/2014/main" id="{00000000-0008-0000-0C00-000004000000}"/>
            </a:ext>
          </a:extLst>
        </xdr:cNvPr>
        <xdr:cNvPicPr/>
      </xdr:nvPicPr>
      <xdr:blipFill>
        <a:blip xmlns:r="http://schemas.openxmlformats.org/officeDocument/2006/relationships" r:embed="rId2" cstate="print"/>
        <a:stretch>
          <a:fillRect/>
        </a:stretch>
      </xdr:blipFill>
      <xdr:spPr bwMode="auto">
        <a:xfrm>
          <a:off x="172507" y="17392650"/>
          <a:ext cx="922867" cy="900641"/>
        </a:xfrm>
        <a:prstGeom prst="rect">
          <a:avLst/>
        </a:prstGeom>
        <a:noFill/>
        <a:ln>
          <a:noFill/>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8</xdr:col>
      <xdr:colOff>53974</xdr:colOff>
      <xdr:row>1</xdr:row>
      <xdr:rowOff>48684</xdr:rowOff>
    </xdr:from>
    <xdr:to>
      <xdr:col>8</xdr:col>
      <xdr:colOff>654049</xdr:colOff>
      <xdr:row>2</xdr:row>
      <xdr:rowOff>48684</xdr:rowOff>
    </xdr:to>
    <xdr:pic>
      <xdr:nvPicPr>
        <xdr:cNvPr id="2" name="Picture 0" descr="GARUDA1 (1).JPG">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321049" y="239184"/>
          <a:ext cx="600075" cy="714375"/>
        </a:xfrm>
        <a:prstGeom prst="rect">
          <a:avLst/>
        </a:prstGeom>
        <a:noFill/>
        <a:ln>
          <a:noFill/>
          <a:prstDash val="solid"/>
        </a:ln>
      </xdr:spPr>
    </xdr:pic>
    <xdr:clientData/>
  </xdr:twoCellAnchor>
  <xdr:twoCellAnchor editAs="oneCell">
    <xdr:from>
      <xdr:col>0</xdr:col>
      <xdr:colOff>172507</xdr:colOff>
      <xdr:row>86</xdr:row>
      <xdr:rowOff>152400</xdr:rowOff>
    </xdr:from>
    <xdr:to>
      <xdr:col>3</xdr:col>
      <xdr:colOff>200024</xdr:colOff>
      <xdr:row>91</xdr:row>
      <xdr:rowOff>62441</xdr:rowOff>
    </xdr:to>
    <xdr:pic>
      <xdr:nvPicPr>
        <xdr:cNvPr id="4" name="Picture 3">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2" cstate="print"/>
        <a:stretch>
          <a:fillRect/>
        </a:stretch>
      </xdr:blipFill>
      <xdr:spPr bwMode="auto">
        <a:xfrm>
          <a:off x="172507" y="17392650"/>
          <a:ext cx="922867" cy="900641"/>
        </a:xfrm>
        <a:prstGeom prst="rect">
          <a:avLst/>
        </a:prstGeom>
        <a:noFill/>
        <a:ln>
          <a:noFill/>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28572</xdr:colOff>
      <xdr:row>0</xdr:row>
      <xdr:rowOff>19049</xdr:rowOff>
    </xdr:from>
    <xdr:to>
      <xdr:col>1</xdr:col>
      <xdr:colOff>1123949</xdr:colOff>
      <xdr:row>6</xdr:row>
      <xdr:rowOff>10583</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tretch>
          <a:fillRect/>
        </a:stretch>
      </xdr:blipFill>
      <xdr:spPr bwMode="auto">
        <a:xfrm>
          <a:off x="400047" y="19049"/>
          <a:ext cx="1095377" cy="1220259"/>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terbilang.xla"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erbilang"/>
    </sheetNames>
    <definedNames>
      <definedName name="terbilang"/>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erbilang"/>
      <sheetName val="RecoveredExternalLink1"/>
    </sheetNames>
    <definedNames>
      <definedName name="terbilang"/>
    </defined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erbilang"/>
      <sheetName val="RecoveredExternalLink2"/>
    </sheetNames>
    <definedNames>
      <definedName name="terbilang"/>
    </defined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5C84D58-C898-4FC5-BDD0-6971A4F494A3}">
  <we:reference id="WA200009404" version="1.0.0.8" store="Omex" storeType="OMEX"/>
  <we:alternateReferences>
    <we:reference id="WA200009404" version="1.0.0.8" store="WA200009404" storeType="OMEX"/>
  </we:alternateReferences>
  <we:properties>
    <we:property name="claude.fileId" value="&quot;a7924798-aebd-4c12-bdcc-d3b68535f31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hyperlink" Target="http://a.md/" TargetMode="External"/><Relationship Id="rId3" Type="http://schemas.openxmlformats.org/officeDocument/2006/relationships/hyperlink" Target="http://s.md/" TargetMode="External"/><Relationship Id="rId7" Type="http://schemas.openxmlformats.org/officeDocument/2006/relationships/hyperlink" Target="http://a.md/" TargetMode="External"/><Relationship Id="rId2" Type="http://schemas.openxmlformats.org/officeDocument/2006/relationships/hyperlink" Target="http://s.st/" TargetMode="External"/><Relationship Id="rId1" Type="http://schemas.openxmlformats.org/officeDocument/2006/relationships/hyperlink" Target="http://a.md.im/" TargetMode="External"/><Relationship Id="rId6" Type="http://schemas.openxmlformats.org/officeDocument/2006/relationships/hyperlink" Target="http://a.md/" TargetMode="External"/><Relationship Id="rId5" Type="http://schemas.openxmlformats.org/officeDocument/2006/relationships/hyperlink" Target="http://a.md/" TargetMode="External"/><Relationship Id="rId4" Type="http://schemas.openxmlformats.org/officeDocument/2006/relationships/hyperlink" Target="http://s.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4"/>
  <sheetViews>
    <sheetView showGridLines="0" topLeftCell="A3" workbookViewId="0">
      <selection activeCell="C9" sqref="C9"/>
    </sheetView>
  </sheetViews>
  <sheetFormatPr defaultRowHeight="14.5" x14ac:dyDescent="0.35"/>
  <cols>
    <col min="1" max="1" width="3" customWidth="1"/>
    <col min="2" max="2" width="5" customWidth="1"/>
    <col min="3" max="3" width="38" customWidth="1"/>
    <col min="4" max="4" width="42" customWidth="1"/>
    <col min="5" max="5" width="3" customWidth="1"/>
  </cols>
  <sheetData>
    <row r="1" spans="1:5" ht="10" customHeight="1" x14ac:dyDescent="0.35">
      <c r="A1" s="183"/>
      <c r="B1" s="183"/>
      <c r="C1" s="183"/>
      <c r="D1" s="183"/>
      <c r="E1" s="183"/>
    </row>
    <row r="2" spans="1:5" ht="50" customHeight="1" x14ac:dyDescent="0.35">
      <c r="A2" s="183"/>
      <c r="B2" s="268" t="s">
        <v>0</v>
      </c>
      <c r="C2" s="239"/>
      <c r="D2" s="239"/>
      <c r="E2" s="183"/>
    </row>
    <row r="3" spans="1:5" ht="30" customHeight="1" x14ac:dyDescent="0.35">
      <c r="A3" s="183"/>
      <c r="B3" s="264" t="s">
        <v>1</v>
      </c>
      <c r="C3" s="239"/>
      <c r="D3" s="239"/>
      <c r="E3" s="183"/>
    </row>
    <row r="4" spans="1:5" ht="10" customHeight="1" x14ac:dyDescent="0.35">
      <c r="A4" s="183"/>
      <c r="B4" s="183"/>
      <c r="C4" s="183"/>
      <c r="D4" s="183"/>
      <c r="E4" s="183"/>
    </row>
    <row r="5" spans="1:5" ht="5" customHeight="1" x14ac:dyDescent="0.35"/>
    <row r="6" spans="1:5" ht="20" customHeight="1" x14ac:dyDescent="0.35">
      <c r="B6" s="266" t="s">
        <v>2</v>
      </c>
      <c r="C6" s="239"/>
      <c r="D6" s="239"/>
    </row>
    <row r="7" spans="1:5" ht="6" customHeight="1" x14ac:dyDescent="0.35"/>
    <row r="8" spans="1:5" ht="22" customHeight="1" x14ac:dyDescent="0.35">
      <c r="A8" s="184"/>
      <c r="B8" s="265" t="s">
        <v>3</v>
      </c>
      <c r="C8" s="239"/>
      <c r="D8" s="185" t="s">
        <v>4</v>
      </c>
      <c r="E8" s="184"/>
    </row>
    <row r="9" spans="1:5" ht="24" customHeight="1" x14ac:dyDescent="0.35">
      <c r="B9" s="186">
        <v>1</v>
      </c>
      <c r="C9" s="187" t="s">
        <v>5</v>
      </c>
      <c r="D9" s="188" t="s">
        <v>6</v>
      </c>
    </row>
    <row r="10" spans="1:5" ht="24" customHeight="1" x14ac:dyDescent="0.35">
      <c r="B10" s="189">
        <v>2</v>
      </c>
      <c r="C10" s="190" t="s">
        <v>7</v>
      </c>
      <c r="D10" s="191" t="s">
        <v>8</v>
      </c>
    </row>
    <row r="11" spans="1:5" ht="24" customHeight="1" x14ac:dyDescent="0.35">
      <c r="B11" s="186">
        <v>3</v>
      </c>
      <c r="C11" s="187" t="s">
        <v>9</v>
      </c>
      <c r="D11" s="188" t="s">
        <v>10</v>
      </c>
    </row>
    <row r="12" spans="1:5" ht="24" customHeight="1" x14ac:dyDescent="0.35">
      <c r="B12" s="189">
        <v>4</v>
      </c>
      <c r="C12" s="190" t="s">
        <v>11</v>
      </c>
      <c r="D12" s="191" t="s">
        <v>12</v>
      </c>
    </row>
    <row r="13" spans="1:5" ht="24" customHeight="1" x14ac:dyDescent="0.35">
      <c r="B13" s="186">
        <v>5</v>
      </c>
      <c r="C13" s="187" t="s">
        <v>13</v>
      </c>
      <c r="D13" s="188" t="s">
        <v>14</v>
      </c>
    </row>
    <row r="14" spans="1:5" ht="24" customHeight="1" x14ac:dyDescent="0.35">
      <c r="B14" s="189">
        <v>6</v>
      </c>
      <c r="C14" s="190" t="s">
        <v>15</v>
      </c>
      <c r="D14" s="191" t="s">
        <v>16</v>
      </c>
    </row>
    <row r="15" spans="1:5" ht="24" customHeight="1" x14ac:dyDescent="0.35">
      <c r="B15" s="186">
        <v>7</v>
      </c>
      <c r="C15" s="187" t="s">
        <v>17</v>
      </c>
      <c r="D15" s="188" t="s">
        <v>18</v>
      </c>
    </row>
    <row r="16" spans="1:5" ht="24" customHeight="1" x14ac:dyDescent="0.35">
      <c r="B16" s="189">
        <v>8</v>
      </c>
      <c r="C16" s="190" t="s">
        <v>19</v>
      </c>
      <c r="D16" s="191" t="s">
        <v>20</v>
      </c>
    </row>
    <row r="17" spans="2:4" ht="24" customHeight="1" x14ac:dyDescent="0.35">
      <c r="B17" s="186">
        <v>9</v>
      </c>
      <c r="C17" s="187" t="s">
        <v>21</v>
      </c>
      <c r="D17" s="188" t="s">
        <v>22</v>
      </c>
    </row>
    <row r="18" spans="2:4" ht="24" customHeight="1" x14ac:dyDescent="0.35">
      <c r="B18" s="189">
        <v>10</v>
      </c>
      <c r="C18" s="190" t="s">
        <v>23</v>
      </c>
      <c r="D18" s="191" t="s">
        <v>24</v>
      </c>
    </row>
    <row r="19" spans="2:4" ht="24" customHeight="1" x14ac:dyDescent="0.35">
      <c r="B19" s="186">
        <v>11</v>
      </c>
      <c r="C19" s="187" t="s">
        <v>25</v>
      </c>
      <c r="D19" s="188" t="s">
        <v>26</v>
      </c>
    </row>
    <row r="20" spans="2:4" ht="24" customHeight="1" x14ac:dyDescent="0.35">
      <c r="B20" s="189">
        <v>12</v>
      </c>
      <c r="C20" s="190" t="s">
        <v>27</v>
      </c>
      <c r="D20" s="191" t="s">
        <v>28</v>
      </c>
    </row>
    <row r="21" spans="2:4" ht="24" customHeight="1" x14ac:dyDescent="0.35">
      <c r="B21" s="186">
        <v>13</v>
      </c>
      <c r="C21" s="187" t="s">
        <v>29</v>
      </c>
      <c r="D21" s="188" t="s">
        <v>30</v>
      </c>
    </row>
    <row r="22" spans="2:4" ht="24" customHeight="1" x14ac:dyDescent="0.35">
      <c r="B22" s="189">
        <v>14</v>
      </c>
      <c r="C22" s="190" t="s">
        <v>31</v>
      </c>
      <c r="D22" s="191" t="s">
        <v>32</v>
      </c>
    </row>
    <row r="24" spans="2:4" ht="20" customHeight="1" x14ac:dyDescent="0.35">
      <c r="B24" s="267" t="s">
        <v>33</v>
      </c>
      <c r="C24" s="239"/>
      <c r="D24" s="239"/>
    </row>
  </sheetData>
  <mergeCells count="5">
    <mergeCell ref="B3:D3"/>
    <mergeCell ref="B8:C8"/>
    <mergeCell ref="B6:D6"/>
    <mergeCell ref="B24:D24"/>
    <mergeCell ref="B2:D2"/>
  </mergeCells>
  <hyperlinks>
    <hyperlink ref="C9" location="'Isi Disini'!A1" display="Isi Disini" xr:uid="{00000000-0004-0000-0000-000000000000}"/>
    <hyperlink ref="C10" location="'DPR PIC'!A1" display="DPR PIC" xr:uid="{00000000-0004-0000-0000-000001000000}"/>
    <hyperlink ref="C11" location="'Nominatif'!A1" display="Nominatif" xr:uid="{00000000-0004-0000-0000-000002000000}"/>
    <hyperlink ref="C12" location="'1'!A1" display="Pegawai 1" xr:uid="{00000000-0004-0000-0000-000003000000}"/>
    <hyperlink ref="C13" location="'2'!A1" display="Pegawai 2" xr:uid="{00000000-0004-0000-0000-000004000000}"/>
    <hyperlink ref="C14" location="'3'!A1" display="Pegawai 3" xr:uid="{00000000-0004-0000-0000-000005000000}"/>
    <hyperlink ref="C15" location="'4'!A1" display="Pegawai 4" xr:uid="{00000000-0004-0000-0000-000006000000}"/>
    <hyperlink ref="C16" location="'5'!A1" display="Pegawai 5" xr:uid="{00000000-0004-0000-0000-000007000000}"/>
    <hyperlink ref="C17" location="'6'!A1" display="Pegawai 6" xr:uid="{00000000-0004-0000-0000-000008000000}"/>
    <hyperlink ref="C18" location="'7'!A1" display="Pegawai 7" xr:uid="{00000000-0004-0000-0000-000009000000}"/>
    <hyperlink ref="C19" location="'8'!A1" display="Pegawai 8" xr:uid="{00000000-0004-0000-0000-00000A000000}"/>
    <hyperlink ref="C20" location="'9'!A1" display="Pegawai 9" xr:uid="{00000000-0004-0000-0000-00000B000000}"/>
    <hyperlink ref="C21" location="'10'!A1" display="Pegawai 10" xr:uid="{00000000-0004-0000-0000-00000C000000}"/>
    <hyperlink ref="C22" location="'DPR PIC (2)'!A1" display="DPR PIC (2)" xr:uid="{00000000-0004-0000-0000-00000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A57"/>
  <sheetViews>
    <sheetView zoomScale="70" zoomScaleNormal="70" zoomScaleSheetLayoutView="77" workbookViewId="0">
      <pane xSplit="5" ySplit="4" topLeftCell="O5" activePane="bottomRight" state="frozen"/>
      <selection activeCell="C20" sqref="C20"/>
      <selection pane="topRight" activeCell="C20" sqref="C20"/>
      <selection pane="bottomLeft" activeCell="C20" sqref="C20"/>
      <selection pane="bottomRight" activeCell="C13" sqref="C13"/>
    </sheetView>
  </sheetViews>
  <sheetFormatPr defaultColWidth="9.08984375" defaultRowHeight="14" x14ac:dyDescent="0.3"/>
  <cols>
    <col min="1" max="1" width="9.08984375" style="1" customWidth="1"/>
    <col min="2" max="2" width="5.36328125" style="1" customWidth="1"/>
    <col min="3" max="3" width="41.08984375" style="1" customWidth="1"/>
    <col min="4" max="4" width="6.6328125" style="1" customWidth="1"/>
    <col min="5" max="5" width="26.90625" style="1" customWidth="1"/>
    <col min="6" max="6" width="13.36328125" style="199" customWidth="1"/>
    <col min="7" max="7" width="27.36328125" style="1" customWidth="1"/>
    <col min="8" max="8" width="20.36328125" style="1" customWidth="1"/>
    <col min="9" max="9" width="21.08984375" style="1" customWidth="1"/>
    <col min="10" max="10" width="4.54296875" style="1" customWidth="1"/>
    <col min="11" max="11" width="12.54296875" style="1" customWidth="1"/>
    <col min="12" max="12" width="14.08984375" style="1" customWidth="1"/>
    <col min="13" max="13" width="20.54296875" style="1" customWidth="1"/>
    <col min="14" max="14" width="11.54296875" style="1" customWidth="1"/>
    <col min="15" max="15" width="19.453125" style="1" customWidth="1"/>
    <col min="16" max="17" width="12" style="1" customWidth="1"/>
    <col min="18" max="18" width="13.6328125" style="1" customWidth="1"/>
    <col min="19" max="19" width="14.54296875" style="1" customWidth="1"/>
    <col min="20" max="22" width="13.6328125" style="1" customWidth="1"/>
    <col min="23" max="23" width="11.453125" style="1" customWidth="1"/>
    <col min="24" max="24" width="13.6328125" style="1" customWidth="1"/>
    <col min="25" max="25" width="21.54296875" style="1" customWidth="1"/>
    <col min="26" max="26" width="14.6328125" style="1" customWidth="1"/>
    <col min="27" max="27" width="13.54296875" style="1" customWidth="1"/>
    <col min="28" max="28" width="9.08984375" style="1" customWidth="1"/>
    <col min="29" max="16384" width="9.08984375" style="1"/>
  </cols>
  <sheetData>
    <row r="1" spans="1:27" s="4" customFormat="1" x14ac:dyDescent="0.3">
      <c r="A1" s="192" t="s">
        <v>34</v>
      </c>
      <c r="B1" s="260" t="s">
        <v>35</v>
      </c>
      <c r="C1" s="250"/>
      <c r="D1" s="250"/>
      <c r="E1" s="250"/>
      <c r="F1" s="250"/>
      <c r="G1" s="250"/>
      <c r="H1" s="250"/>
      <c r="I1" s="250"/>
      <c r="J1" s="250"/>
      <c r="K1" s="250"/>
      <c r="L1" s="250"/>
      <c r="M1" s="250"/>
      <c r="N1" s="250"/>
      <c r="O1" s="250"/>
      <c r="P1" s="250"/>
      <c r="Q1" s="250"/>
      <c r="R1" s="250"/>
      <c r="S1" s="250"/>
      <c r="T1" s="250"/>
      <c r="U1" s="250"/>
      <c r="V1" s="250"/>
      <c r="W1" s="250"/>
      <c r="X1" s="250"/>
      <c r="Y1" s="250"/>
      <c r="Z1" s="250"/>
    </row>
    <row r="2" spans="1:27" s="4" customFormat="1" x14ac:dyDescent="0.3">
      <c r="B2" s="249" t="s">
        <v>36</v>
      </c>
      <c r="C2" s="250"/>
      <c r="D2" s="250"/>
      <c r="E2" s="250"/>
      <c r="F2" s="250"/>
      <c r="G2" s="250"/>
      <c r="H2" s="250"/>
      <c r="I2" s="250"/>
      <c r="J2" s="250"/>
      <c r="K2" s="250"/>
      <c r="L2" s="250"/>
      <c r="M2" s="250"/>
      <c r="N2" s="250"/>
      <c r="O2" s="250"/>
      <c r="P2" s="250"/>
      <c r="Q2" s="250"/>
      <c r="R2" s="250"/>
      <c r="S2" s="250"/>
      <c r="T2" s="250"/>
      <c r="U2" s="250"/>
      <c r="V2" s="250"/>
      <c r="W2" s="250"/>
      <c r="X2" s="250"/>
      <c r="Y2" s="250"/>
      <c r="Z2" s="250"/>
    </row>
    <row r="3" spans="1:27" s="4" customFormat="1" x14ac:dyDescent="0.3">
      <c r="B3" s="252" t="s">
        <v>37</v>
      </c>
      <c r="C3" s="250"/>
      <c r="D3" s="250"/>
      <c r="E3" s="250"/>
      <c r="F3" s="250"/>
      <c r="G3" s="250"/>
      <c r="H3" s="250"/>
      <c r="I3" s="250"/>
      <c r="J3" s="250"/>
      <c r="K3" s="250"/>
      <c r="L3" s="250"/>
      <c r="M3" s="263" t="s">
        <v>38</v>
      </c>
      <c r="N3" s="250"/>
      <c r="O3" s="250"/>
      <c r="P3" s="144" t="s">
        <v>39</v>
      </c>
      <c r="Q3" s="168" t="s">
        <v>40</v>
      </c>
      <c r="R3" s="145"/>
      <c r="S3" s="144"/>
      <c r="T3" s="144"/>
      <c r="U3" s="144"/>
      <c r="V3" s="144"/>
      <c r="W3" s="144"/>
      <c r="X3" s="144"/>
      <c r="Y3" s="144"/>
      <c r="Z3" s="144"/>
    </row>
    <row r="4" spans="1:27" s="4" customFormat="1" ht="51" customHeight="1" x14ac:dyDescent="0.3">
      <c r="B4" s="5"/>
      <c r="C4" s="146" t="s">
        <v>41</v>
      </c>
      <c r="D4" s="72"/>
      <c r="E4" s="253" t="s">
        <v>42</v>
      </c>
      <c r="F4" s="250"/>
      <c r="G4" s="257" t="s">
        <v>43</v>
      </c>
      <c r="H4" s="250"/>
      <c r="I4" s="250"/>
      <c r="J4" s="250"/>
      <c r="K4" s="250"/>
      <c r="L4" s="250"/>
      <c r="M4" s="250"/>
      <c r="N4" s="250"/>
      <c r="O4" s="250"/>
      <c r="P4" s="5"/>
      <c r="Q4" s="5"/>
      <c r="R4" s="5"/>
      <c r="S4" s="5"/>
      <c r="T4" s="5"/>
      <c r="U4" s="5"/>
      <c r="V4" s="5"/>
      <c r="W4" s="5"/>
      <c r="X4" s="5"/>
      <c r="Y4" s="5"/>
      <c r="Z4" s="5"/>
    </row>
    <row r="5" spans="1:27" s="4" customFormat="1" x14ac:dyDescent="0.3">
      <c r="F5" s="11"/>
    </row>
    <row r="6" spans="1:27" s="6" customFormat="1" ht="14.25" customHeight="1" x14ac:dyDescent="0.35">
      <c r="B6" s="19" t="s">
        <v>44</v>
      </c>
      <c r="C6" s="222" t="s">
        <v>45</v>
      </c>
      <c r="D6" s="233" t="s">
        <v>46</v>
      </c>
      <c r="E6" s="222" t="s">
        <v>47</v>
      </c>
      <c r="F6" s="222" t="s">
        <v>48</v>
      </c>
      <c r="G6" s="222" t="s">
        <v>49</v>
      </c>
      <c r="H6" s="222" t="s">
        <v>50</v>
      </c>
      <c r="I6" s="222" t="s">
        <v>51</v>
      </c>
      <c r="J6" s="233" t="s">
        <v>52</v>
      </c>
      <c r="K6" s="234"/>
      <c r="L6" s="62"/>
      <c r="M6" s="251" t="s">
        <v>53</v>
      </c>
      <c r="N6" s="258"/>
      <c r="O6" s="258"/>
      <c r="P6" s="258"/>
      <c r="Q6" s="258"/>
      <c r="R6" s="258"/>
      <c r="S6" s="258"/>
      <c r="T6" s="258"/>
      <c r="U6" s="258"/>
      <c r="V6" s="258"/>
      <c r="W6" s="258"/>
      <c r="X6" s="232"/>
      <c r="Y6" s="251" t="s">
        <v>54</v>
      </c>
      <c r="Z6" s="251" t="s">
        <v>55</v>
      </c>
    </row>
    <row r="7" spans="1:27" s="6" customFormat="1" ht="30.75" customHeight="1" x14ac:dyDescent="0.35">
      <c r="B7" s="20"/>
      <c r="C7" s="223"/>
      <c r="D7" s="223"/>
      <c r="E7" s="223"/>
      <c r="F7" s="243"/>
      <c r="G7" s="223"/>
      <c r="H7" s="223"/>
      <c r="I7" s="223"/>
      <c r="J7" s="235"/>
      <c r="K7" s="236"/>
      <c r="L7" s="63" t="s">
        <v>56</v>
      </c>
      <c r="M7" s="251" t="s">
        <v>57</v>
      </c>
      <c r="N7" s="258"/>
      <c r="O7" s="258"/>
      <c r="P7" s="258"/>
      <c r="Q7" s="232"/>
      <c r="R7" s="246" t="s">
        <v>58</v>
      </c>
      <c r="S7" s="222" t="s">
        <v>59</v>
      </c>
      <c r="T7" s="247" t="s">
        <v>60</v>
      </c>
      <c r="U7" s="247" t="s">
        <v>56</v>
      </c>
      <c r="V7" s="247" t="s">
        <v>61</v>
      </c>
      <c r="W7" s="247" t="s">
        <v>62</v>
      </c>
      <c r="X7" s="248" t="s">
        <v>63</v>
      </c>
      <c r="Y7" s="223"/>
      <c r="Z7" s="223"/>
    </row>
    <row r="8" spans="1:27" s="4" customFormat="1" ht="14.5" x14ac:dyDescent="0.35">
      <c r="B8" s="21"/>
      <c r="C8" s="223"/>
      <c r="D8" s="216"/>
      <c r="E8" s="223"/>
      <c r="F8" s="243"/>
      <c r="G8" s="223"/>
      <c r="H8" s="223"/>
      <c r="I8" s="223"/>
      <c r="J8" s="221"/>
      <c r="K8" s="237"/>
      <c r="L8" s="64"/>
      <c r="M8" s="231" t="s">
        <v>64</v>
      </c>
      <c r="N8" s="232"/>
      <c r="O8" s="231" t="s">
        <v>65</v>
      </c>
      <c r="P8" s="232"/>
      <c r="Q8" s="7" t="s">
        <v>63</v>
      </c>
      <c r="R8" s="223"/>
      <c r="S8" s="223"/>
      <c r="T8" s="223"/>
      <c r="U8" s="223"/>
      <c r="V8" s="223"/>
      <c r="W8" s="223"/>
      <c r="X8" s="236"/>
      <c r="Y8" s="216"/>
      <c r="Z8" s="216"/>
    </row>
    <row r="9" spans="1:27" s="17" customFormat="1" ht="15" customHeight="1" x14ac:dyDescent="0.35">
      <c r="B9" s="224">
        <v>1</v>
      </c>
      <c r="C9" s="2" t="s">
        <v>244</v>
      </c>
      <c r="D9" s="228" t="s">
        <v>66</v>
      </c>
      <c r="E9" s="225" t="str">
        <f>_xlfn.XLOOKUP(C9,'nama pegawai'!B:B,'nama pegawai'!E:E,"")</f>
        <v>KASI REG, ADMINISTRASI &amp; PELAPORAN</v>
      </c>
      <c r="F9" s="224" t="s">
        <v>67</v>
      </c>
      <c r="G9" s="215" t="s">
        <v>68</v>
      </c>
      <c r="H9" s="215">
        <v>46167</v>
      </c>
      <c r="I9" s="176" t="s">
        <v>426</v>
      </c>
      <c r="J9" s="226">
        <f>IF(I9="",0,_xlfn.LET(_xlpm.teks,TRIM(I9),_xlpm.posSd,FIND("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9" s="227" t="str">
        <f>IF(J9=0,"",J9&amp;" ("&amp;CHOOSE(MIN(J9,31),"satu","dua","tiga","empat","lima","enam","tujuh","delapan","sembilan","sepuluh","sebelas","dua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9" s="244">
        <v>530000</v>
      </c>
      <c r="M9" s="217" t="s">
        <v>69</v>
      </c>
      <c r="N9" s="171">
        <f>6201052/4</f>
        <v>1550263</v>
      </c>
      <c r="O9" s="218" t="s">
        <v>72</v>
      </c>
      <c r="P9" s="171">
        <f>4445842/3</f>
        <v>1481947.3333333333</v>
      </c>
      <c r="Q9" s="171">
        <f>N9+P9</f>
        <v>3032210.333333333</v>
      </c>
      <c r="R9" s="171">
        <v>250000</v>
      </c>
      <c r="S9" s="171">
        <v>96200</v>
      </c>
      <c r="T9" s="15"/>
      <c r="U9" s="230">
        <f>J9*L9</f>
        <v>530000</v>
      </c>
      <c r="V9" s="15">
        <f>730000*2</f>
        <v>1460000</v>
      </c>
      <c r="W9" s="15">
        <v>0</v>
      </c>
      <c r="X9" s="15"/>
      <c r="Y9" s="241" t="s">
        <v>70</v>
      </c>
      <c r="Z9" s="16"/>
    </row>
    <row r="10" spans="1:27" s="17" customFormat="1" ht="15" customHeight="1" x14ac:dyDescent="0.35">
      <c r="B10" s="216"/>
      <c r="C10" s="3" t="str">
        <f>_xlfn.XLOOKUP(C9,'nama pegawai'!B:B,'nama pegawai'!C:C,"")</f>
        <v>19840831 200312 1 001</v>
      </c>
      <c r="D10" s="229"/>
      <c r="E10" s="216"/>
      <c r="F10" s="219"/>
      <c r="G10" s="216"/>
      <c r="H10" s="216"/>
      <c r="I10" s="177"/>
      <c r="J10" s="216"/>
      <c r="K10" s="216"/>
      <c r="L10" s="245"/>
      <c r="M10" s="216"/>
      <c r="N10" s="214"/>
      <c r="O10" s="219"/>
      <c r="P10" s="214"/>
      <c r="Q10" s="214"/>
      <c r="R10" s="214"/>
      <c r="S10" s="214"/>
      <c r="T10" s="18"/>
      <c r="U10" s="216"/>
      <c r="V10" s="18"/>
      <c r="W10" s="18"/>
      <c r="X10" s="18"/>
      <c r="Y10" s="221"/>
      <c r="Z10" s="16"/>
    </row>
    <row r="11" spans="1:27" s="17" customFormat="1" ht="15" customHeight="1" x14ac:dyDescent="0.35">
      <c r="B11" s="220">
        <v>2</v>
      </c>
      <c r="C11" s="2" t="s">
        <v>250</v>
      </c>
      <c r="D11" s="228" t="s">
        <v>66</v>
      </c>
      <c r="E11" s="225" t="str">
        <f>_xlfn.XLOOKUP(C11,'nama pegawai'!B:B,'nama pegawai'!E:E,"")</f>
        <v>KASUBSI REGISTRASI</v>
      </c>
      <c r="F11" s="224" t="s">
        <v>67</v>
      </c>
      <c r="G11" s="215" t="s">
        <v>71</v>
      </c>
      <c r="H11" s="215">
        <v>46169</v>
      </c>
      <c r="I11" s="198" t="s">
        <v>426</v>
      </c>
      <c r="J11" s="226">
        <f>IF(I11="",0,_xlfn.LET(_xlpm.teks,TRIM(I11),_xlpm.posSd,FIND("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11" s="227" t="str">
        <f>IF(J11=0,"",J11&amp;" ("&amp;CHOOSE(MIN(J11,31),"satu","dua","tiga","empat","lima","enam","tujuh","delapan","sembilan","sepuluh","sebelas","dua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11" s="244">
        <v>530000</v>
      </c>
      <c r="M11" s="217" t="s">
        <v>69</v>
      </c>
      <c r="N11" s="171">
        <f>6201052/4</f>
        <v>1550263</v>
      </c>
      <c r="O11" s="218" t="s">
        <v>72</v>
      </c>
      <c r="P11" s="171">
        <f>4445842/3</f>
        <v>1481947.3333333333</v>
      </c>
      <c r="Q11" s="171">
        <f>N11+P11</f>
        <v>3032210.333333333</v>
      </c>
      <c r="R11" s="171">
        <v>250000</v>
      </c>
      <c r="S11" s="171">
        <v>160000</v>
      </c>
      <c r="T11" s="15"/>
      <c r="U11" s="230">
        <f>J11*L11</f>
        <v>530000</v>
      </c>
      <c r="V11" s="15">
        <f>730000*2</f>
        <v>1460000</v>
      </c>
      <c r="W11" s="15">
        <v>0</v>
      </c>
      <c r="X11" s="15"/>
      <c r="Y11" s="241" t="s">
        <v>70</v>
      </c>
      <c r="Z11" s="16"/>
    </row>
    <row r="12" spans="1:27" s="17" customFormat="1" ht="15" customHeight="1" x14ac:dyDescent="0.35">
      <c r="B12" s="221"/>
      <c r="C12" s="3" t="str">
        <f>_xlfn.XLOOKUP(C11,'nama pegawai'!B:B,'nama pegawai'!C:C,"")</f>
        <v>19800803 200912 2 001</v>
      </c>
      <c r="D12" s="229"/>
      <c r="E12" s="216"/>
      <c r="F12" s="219"/>
      <c r="G12" s="216"/>
      <c r="H12" s="216"/>
      <c r="I12" s="193"/>
      <c r="J12" s="216"/>
      <c r="K12" s="216"/>
      <c r="L12" s="245"/>
      <c r="M12" s="216"/>
      <c r="N12" s="214"/>
      <c r="O12" s="219"/>
      <c r="P12" s="214"/>
      <c r="Q12" s="214"/>
      <c r="R12" s="171">
        <v>250000</v>
      </c>
      <c r="S12" s="214">
        <v>151500</v>
      </c>
      <c r="T12" s="18"/>
      <c r="U12" s="216"/>
      <c r="V12" s="18"/>
      <c r="W12" s="18"/>
      <c r="X12" s="18"/>
      <c r="Y12" s="221"/>
      <c r="Z12" s="16"/>
    </row>
    <row r="13" spans="1:27" s="17" customFormat="1" ht="15" customHeight="1" x14ac:dyDescent="0.35">
      <c r="B13" s="220">
        <v>3</v>
      </c>
      <c r="C13" s="22"/>
      <c r="D13" s="228" t="s">
        <v>74</v>
      </c>
      <c r="E13" s="225">
        <f>_xlfn.XLOOKUP(C13,'nama pegawai'!B:B,'nama pegawai'!E:E,"")</f>
        <v>0</v>
      </c>
      <c r="F13" s="224" t="s">
        <v>67</v>
      </c>
      <c r="G13" s="215" t="s">
        <v>75</v>
      </c>
      <c r="H13" s="215">
        <v>46170</v>
      </c>
      <c r="I13" s="198" t="s">
        <v>426</v>
      </c>
      <c r="J13" s="226">
        <f>IF(I13="",0,_xlfn.LET(_xlpm.teks,TRIM(I13),_xlpm.posSd,FIND("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13" s="227" t="str">
        <f>IF(J13=0,"",J13&amp;" ("&amp;CHOOSE(MIN(J13,31),"satu","dua","tiga","empat","lima","enam","tujuh","delapan","sembilan","sepuluh","sebelas","dua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13" s="244">
        <v>530000</v>
      </c>
      <c r="M13" s="217" t="s">
        <v>69</v>
      </c>
      <c r="N13" s="171">
        <f>6201052/4</f>
        <v>1550263</v>
      </c>
      <c r="O13" s="218" t="s">
        <v>72</v>
      </c>
      <c r="P13" s="171">
        <f>4445842/3</f>
        <v>1481947.3333333333</v>
      </c>
      <c r="Q13" s="171">
        <f>SUM(N13:P14)</f>
        <v>3032210.333333333</v>
      </c>
      <c r="R13" s="171"/>
      <c r="S13" s="171">
        <v>96000</v>
      </c>
      <c r="T13" s="15"/>
      <c r="U13" s="230">
        <f>J13*L13</f>
        <v>530000</v>
      </c>
      <c r="V13" s="15">
        <f>730000*2</f>
        <v>1460000</v>
      </c>
      <c r="W13" s="15">
        <v>0</v>
      </c>
      <c r="X13" s="15">
        <v>1060000</v>
      </c>
      <c r="Y13" s="241" t="s">
        <v>70</v>
      </c>
      <c r="Z13" s="16"/>
    </row>
    <row r="14" spans="1:27" s="17" customFormat="1" ht="15" customHeight="1" x14ac:dyDescent="0.35">
      <c r="B14" s="221"/>
      <c r="C14" s="3">
        <f>_xlfn.XLOOKUP(C13,'nama pegawai'!B:B,'nama pegawai'!C:C,"")</f>
        <v>0</v>
      </c>
      <c r="D14" s="229"/>
      <c r="E14" s="216"/>
      <c r="F14" s="219"/>
      <c r="G14" s="216"/>
      <c r="H14" s="216"/>
      <c r="I14" s="193"/>
      <c r="J14" s="216"/>
      <c r="K14" s="216"/>
      <c r="L14" s="245"/>
      <c r="M14" s="216"/>
      <c r="N14" s="214"/>
      <c r="O14" s="219"/>
      <c r="P14" s="214"/>
      <c r="Q14" s="214"/>
      <c r="R14" s="214"/>
      <c r="S14" s="214">
        <v>150000</v>
      </c>
      <c r="T14" s="18"/>
      <c r="U14" s="216"/>
      <c r="V14" s="18"/>
      <c r="W14" s="18"/>
      <c r="X14" s="18"/>
      <c r="Y14" s="221"/>
      <c r="Z14" s="16"/>
    </row>
    <row r="15" spans="1:27" s="17" customFormat="1" ht="15" customHeight="1" x14ac:dyDescent="0.35">
      <c r="B15" s="220">
        <v>4</v>
      </c>
      <c r="C15" s="2"/>
      <c r="D15" s="153" t="s">
        <v>74</v>
      </c>
      <c r="E15" s="225">
        <f>_xlfn.XLOOKUP(C15,'nama pegawai'!B:B,'nama pegawai'!E:E,"")</f>
        <v>0</v>
      </c>
      <c r="F15" s="224" t="s">
        <v>67</v>
      </c>
      <c r="G15" s="215" t="s">
        <v>76</v>
      </c>
      <c r="H15" s="215">
        <v>46170</v>
      </c>
      <c r="I15" s="198" t="s">
        <v>426</v>
      </c>
      <c r="J15" s="226">
        <f>IF(I15="",0,_xlfn.LET(_xlpm.teks,TRIM(I15),_xlpm.posSd,FIND("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15" s="227" t="str">
        <f>IF(J15=0,"",J15&amp;" ("&amp;CHOOSE(MIN(J15,31),"satu","dua","tiga","empat","lima","enam","tujuh","delapan","sembilan","sepuluh","sebelas","dua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15" s="244">
        <v>530000</v>
      </c>
      <c r="M15" s="217" t="s">
        <v>69</v>
      </c>
      <c r="N15" s="171">
        <f>6201052/4</f>
        <v>1550263</v>
      </c>
      <c r="O15" s="218" t="s">
        <v>72</v>
      </c>
      <c r="P15" s="171">
        <f>4445842/3</f>
        <v>1481947.3333333333</v>
      </c>
      <c r="Q15" s="171">
        <f>SUM(N15:P16)</f>
        <v>3032210.333333333</v>
      </c>
      <c r="R15" s="171">
        <v>219000</v>
      </c>
      <c r="S15" s="171">
        <v>150000</v>
      </c>
      <c r="T15" s="15">
        <v>0</v>
      </c>
      <c r="U15" s="230">
        <f>J15*L15</f>
        <v>530000</v>
      </c>
      <c r="V15" s="15">
        <f>730000*2</f>
        <v>1460000</v>
      </c>
      <c r="W15" s="15">
        <v>0</v>
      </c>
      <c r="X15" s="15">
        <v>1060000</v>
      </c>
      <c r="Y15" s="241" t="s">
        <v>70</v>
      </c>
      <c r="Z15" s="16"/>
      <c r="AA15" s="17" t="s">
        <v>77</v>
      </c>
    </row>
    <row r="16" spans="1:27" s="17" customFormat="1" ht="15" customHeight="1" x14ac:dyDescent="0.35">
      <c r="B16" s="221"/>
      <c r="C16" s="3">
        <f>_xlfn.XLOOKUP(C15,'nama pegawai'!B:B,'nama pegawai'!C:C,"")</f>
        <v>0</v>
      </c>
      <c r="D16" s="152"/>
      <c r="E16" s="216"/>
      <c r="F16" s="219"/>
      <c r="G16" s="216"/>
      <c r="H16" s="216"/>
      <c r="I16" s="193"/>
      <c r="J16" s="216"/>
      <c r="K16" s="216"/>
      <c r="L16" s="245"/>
      <c r="M16" s="216"/>
      <c r="N16" s="214"/>
      <c r="O16" s="219"/>
      <c r="P16" s="214"/>
      <c r="Q16" s="214"/>
      <c r="R16" s="214"/>
      <c r="S16" s="214">
        <v>151000</v>
      </c>
      <c r="T16" s="18"/>
      <c r="U16" s="216"/>
      <c r="V16" s="18"/>
      <c r="W16" s="18"/>
      <c r="X16" s="18"/>
      <c r="Y16" s="221"/>
      <c r="Z16" s="16"/>
    </row>
    <row r="17" spans="2:26" s="17" customFormat="1" ht="15" customHeight="1" x14ac:dyDescent="0.35">
      <c r="B17" s="220">
        <v>5</v>
      </c>
      <c r="C17" s="2"/>
      <c r="D17" s="153" t="s">
        <v>74</v>
      </c>
      <c r="E17" s="225">
        <f>_xlfn.XLOOKUP(C17,'nama pegawai'!B:B,'nama pegawai'!E:E,"")</f>
        <v>0</v>
      </c>
      <c r="F17" s="224" t="s">
        <v>67</v>
      </c>
      <c r="G17" s="215" t="s">
        <v>78</v>
      </c>
      <c r="H17" s="215">
        <v>46170</v>
      </c>
      <c r="I17" s="198" t="s">
        <v>426</v>
      </c>
      <c r="J17" s="226">
        <f>IF(I17="",0,_xlfn.LET(_xlpm.teks,TRIM(I17),_xlpm.posSd,FIND("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17" s="227" t="str">
        <f>IF(J17=0,"",J17&amp;" ("&amp;CHOOSE(MIN(J17,31),"satu","dua","tiga","empat","lima","enam","tujuh","delapan","sembilan","sepuluh","sebelas","dua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17" s="244">
        <v>530000</v>
      </c>
      <c r="M17" s="217" t="s">
        <v>79</v>
      </c>
      <c r="N17" s="171">
        <v>0</v>
      </c>
      <c r="O17" s="218" t="s">
        <v>72</v>
      </c>
      <c r="P17" s="171">
        <v>0</v>
      </c>
      <c r="Q17" s="171">
        <v>2625600</v>
      </c>
      <c r="R17" s="171">
        <v>0</v>
      </c>
      <c r="S17" s="171">
        <v>88000</v>
      </c>
      <c r="T17" s="15">
        <v>0</v>
      </c>
      <c r="U17" s="230">
        <f>J17*L17</f>
        <v>530000</v>
      </c>
      <c r="V17" s="15" t="s">
        <v>80</v>
      </c>
      <c r="W17" s="15">
        <v>0</v>
      </c>
      <c r="X17" s="15"/>
      <c r="Y17" s="241" t="s">
        <v>70</v>
      </c>
      <c r="Z17" s="16"/>
    </row>
    <row r="18" spans="2:26" s="17" customFormat="1" ht="15" customHeight="1" x14ac:dyDescent="0.35">
      <c r="B18" s="221"/>
      <c r="C18" s="3">
        <f>_xlfn.XLOOKUP(C17,'nama pegawai'!B:B,'nama pegawai'!C:C,"")</f>
        <v>0</v>
      </c>
      <c r="D18" s="152"/>
      <c r="E18" s="216"/>
      <c r="F18" s="219"/>
      <c r="G18" s="216"/>
      <c r="H18" s="216"/>
      <c r="I18" s="193"/>
      <c r="J18" s="216"/>
      <c r="K18" s="216"/>
      <c r="L18" s="245"/>
      <c r="M18" s="216"/>
      <c r="N18" s="214"/>
      <c r="O18" s="219"/>
      <c r="P18" s="214"/>
      <c r="Q18" s="214"/>
      <c r="R18" s="214"/>
      <c r="S18" s="214"/>
      <c r="T18" s="18"/>
      <c r="U18" s="216"/>
      <c r="V18" s="18"/>
      <c r="W18" s="18"/>
      <c r="X18" s="18"/>
      <c r="Y18" s="221"/>
      <c r="Z18" s="16"/>
    </row>
    <row r="19" spans="2:26" s="17" customFormat="1" ht="15" customHeight="1" x14ac:dyDescent="0.35">
      <c r="B19" s="220">
        <v>6</v>
      </c>
      <c r="C19" s="2"/>
      <c r="D19" s="153" t="s">
        <v>74</v>
      </c>
      <c r="E19" s="225">
        <f>_xlfn.XLOOKUP(C19,'nama pegawai'!B:B,'nama pegawai'!E:E,"")</f>
        <v>0</v>
      </c>
      <c r="F19" s="224" t="s">
        <v>81</v>
      </c>
      <c r="G19" s="215" t="s">
        <v>82</v>
      </c>
      <c r="H19" s="215">
        <v>46170</v>
      </c>
      <c r="I19" s="198" t="s">
        <v>429</v>
      </c>
      <c r="J19" s="226">
        <f>IF(I19="",0,_xlfn.LET(_xlpm.teks,TRIM(I19),_xlpm.posSd,FIND("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4</v>
      </c>
      <c r="K19" s="227" t="str">
        <f>IF(J19=0,"",J19&amp;" ("&amp;CHOOSE(MIN(J19,31),"satu","dua","tiga","empat","lima","enam","tujuh","delapan","sembilan","sepuluh","sebelas","dua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4 (empat) hari</v>
      </c>
      <c r="L19" s="244">
        <v>380000</v>
      </c>
      <c r="M19" s="240" t="s">
        <v>80</v>
      </c>
      <c r="N19" s="171">
        <v>0</v>
      </c>
      <c r="O19" s="240" t="s">
        <v>80</v>
      </c>
      <c r="P19" s="171">
        <v>0</v>
      </c>
      <c r="Q19" s="171">
        <f>N19+P19</f>
        <v>0</v>
      </c>
      <c r="R19" s="171">
        <v>0</v>
      </c>
      <c r="S19" s="171">
        <v>0</v>
      </c>
      <c r="T19" s="15">
        <v>0</v>
      </c>
      <c r="U19" s="230">
        <f>J19*L19</f>
        <v>1520000</v>
      </c>
      <c r="V19" s="15" t="s">
        <v>80</v>
      </c>
      <c r="W19" s="15">
        <v>0</v>
      </c>
      <c r="X19" s="15">
        <v>1060000</v>
      </c>
      <c r="Y19" s="241" t="s">
        <v>70</v>
      </c>
      <c r="Z19" s="16"/>
    </row>
    <row r="20" spans="2:26" s="17" customFormat="1" ht="15" customHeight="1" x14ac:dyDescent="0.35">
      <c r="B20" s="221"/>
      <c r="C20" s="3">
        <f>_xlfn.XLOOKUP(C19,'nama pegawai'!B:B,'nama pegawai'!C:C,"")</f>
        <v>0</v>
      </c>
      <c r="D20" s="152"/>
      <c r="E20" s="216"/>
      <c r="F20" s="219"/>
      <c r="G20" s="216"/>
      <c r="H20" s="216"/>
      <c r="I20" s="193"/>
      <c r="J20" s="216"/>
      <c r="K20" s="216"/>
      <c r="L20" s="245"/>
      <c r="M20" s="216"/>
      <c r="N20" s="214"/>
      <c r="O20" s="219"/>
      <c r="P20" s="214"/>
      <c r="Q20" s="214"/>
      <c r="R20" s="214"/>
      <c r="S20" s="214"/>
      <c r="T20" s="18"/>
      <c r="U20" s="216"/>
      <c r="V20" s="18"/>
      <c r="W20" s="18"/>
      <c r="X20" s="18"/>
      <c r="Y20" s="221"/>
      <c r="Z20" s="16"/>
    </row>
    <row r="21" spans="2:26" s="17" customFormat="1" ht="15" customHeight="1" x14ac:dyDescent="0.35">
      <c r="B21" s="220">
        <v>7</v>
      </c>
      <c r="C21" s="2"/>
      <c r="D21" s="153" t="s">
        <v>74</v>
      </c>
      <c r="E21" s="225">
        <f>_xlfn.XLOOKUP(C21,'nama pegawai'!B:B,'nama pegawai'!E:E,"")</f>
        <v>0</v>
      </c>
      <c r="F21" s="224" t="s">
        <v>81</v>
      </c>
      <c r="G21" s="215" t="s">
        <v>83</v>
      </c>
      <c r="H21" s="215">
        <v>46083</v>
      </c>
      <c r="I21" s="198" t="s">
        <v>428</v>
      </c>
      <c r="J21" s="226">
        <f>IF(I21="",0,_xlfn.LET(_xlpm.teks,TRIM(I21),_xlpm.posSd,FIND("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3</v>
      </c>
      <c r="K21" s="227" t="str">
        <f>IF(J21=0,"",J21&amp;" ("&amp;CHOOSE(MIN(J21,31),"satu","dua","tiga","empat","lima","enam","tujuh","delapan","sembilan","sepuluh","sebelas","dua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3 (tiga) hari</v>
      </c>
      <c r="L21" s="244">
        <v>380000</v>
      </c>
      <c r="M21" s="240" t="s">
        <v>80</v>
      </c>
      <c r="N21" s="171">
        <v>0</v>
      </c>
      <c r="O21" s="240" t="s">
        <v>80</v>
      </c>
      <c r="P21" s="171">
        <v>0</v>
      </c>
      <c r="Q21" s="171">
        <f>N21+P21</f>
        <v>0</v>
      </c>
      <c r="R21" s="171">
        <v>0</v>
      </c>
      <c r="S21" s="171">
        <v>0</v>
      </c>
      <c r="T21" s="15">
        <v>0</v>
      </c>
      <c r="U21" s="230">
        <f>J21*L21</f>
        <v>1140000</v>
      </c>
      <c r="V21" s="171" t="s">
        <v>80</v>
      </c>
      <c r="W21" s="15">
        <v>0</v>
      </c>
      <c r="X21" s="15"/>
      <c r="Y21" s="241" t="s">
        <v>70</v>
      </c>
      <c r="Z21" s="16"/>
    </row>
    <row r="22" spans="2:26" s="17" customFormat="1" ht="15" customHeight="1" x14ac:dyDescent="0.35">
      <c r="B22" s="221"/>
      <c r="C22" s="3">
        <f>_xlfn.XLOOKUP(C21,'nama pegawai'!B:B,'nama pegawai'!C:C,"")</f>
        <v>0</v>
      </c>
      <c r="D22" s="152"/>
      <c r="E22" s="216"/>
      <c r="F22" s="219"/>
      <c r="G22" s="216"/>
      <c r="H22" s="216"/>
      <c r="I22" s="193"/>
      <c r="J22" s="216"/>
      <c r="K22" s="216"/>
      <c r="L22" s="245"/>
      <c r="M22" s="216"/>
      <c r="N22" s="214"/>
      <c r="O22" s="219"/>
      <c r="P22" s="214"/>
      <c r="Q22" s="214"/>
      <c r="R22" s="214"/>
      <c r="S22" s="214"/>
      <c r="T22" s="18"/>
      <c r="U22" s="216"/>
      <c r="V22" s="18"/>
      <c r="W22" s="18"/>
      <c r="X22" s="18"/>
      <c r="Y22" s="221"/>
      <c r="Z22" s="16"/>
    </row>
    <row r="23" spans="2:26" s="17" customFormat="1" ht="15" customHeight="1" x14ac:dyDescent="0.35">
      <c r="B23" s="220">
        <v>8</v>
      </c>
      <c r="C23" s="2"/>
      <c r="D23" s="151" t="s">
        <v>66</v>
      </c>
      <c r="E23" s="225">
        <f>_xlfn.XLOOKUP(C23,'nama pegawai'!B:B,'nama pegawai'!E:E,"")</f>
        <v>0</v>
      </c>
      <c r="F23" s="224" t="s">
        <v>84</v>
      </c>
      <c r="G23" s="215" t="s">
        <v>85</v>
      </c>
      <c r="H23" s="215">
        <v>46170</v>
      </c>
      <c r="I23" s="198" t="s">
        <v>426</v>
      </c>
      <c r="J23" s="226">
        <f>IF(I23="",0,_xlfn.LET(_xlpm.teks,TRIM(I23),_xlpm.posSd,FIND("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23" s="227" t="str">
        <f>IF(J23=0,"",J23&amp;" ("&amp;CHOOSE(MIN(J23,31),"satu","dua","tiga","empat","lima","enam","tujuh","delapan","sembilan","sepuluh","sebelas","dua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23" s="211">
        <v>0</v>
      </c>
      <c r="M23" s="230"/>
      <c r="N23" s="171">
        <v>0</v>
      </c>
      <c r="O23" s="230"/>
      <c r="P23" s="171">
        <v>0</v>
      </c>
      <c r="Q23" s="171">
        <f>N23+P23</f>
        <v>0</v>
      </c>
      <c r="R23" s="171">
        <v>0</v>
      </c>
      <c r="S23" s="171">
        <v>0</v>
      </c>
      <c r="T23" s="15">
        <v>0</v>
      </c>
      <c r="U23" s="230">
        <f>J23*L23</f>
        <v>0</v>
      </c>
      <c r="V23" s="15"/>
      <c r="W23" s="15">
        <v>0</v>
      </c>
      <c r="X23" s="15">
        <f>SUM(Q23:W23)</f>
        <v>0</v>
      </c>
      <c r="Y23" s="241" t="s">
        <v>70</v>
      </c>
      <c r="Z23" s="16"/>
    </row>
    <row r="24" spans="2:26" s="17" customFormat="1" ht="15" customHeight="1" x14ac:dyDescent="0.35">
      <c r="B24" s="221"/>
      <c r="C24" s="3">
        <f>_xlfn.XLOOKUP(C23,'nama pegawai'!B:B,'nama pegawai'!C:C,"")</f>
        <v>0</v>
      </c>
      <c r="D24" s="152"/>
      <c r="E24" s="216"/>
      <c r="F24" s="219"/>
      <c r="G24" s="216"/>
      <c r="H24" s="216"/>
      <c r="I24" s="193"/>
      <c r="J24" s="216"/>
      <c r="K24" s="216"/>
      <c r="L24" s="212"/>
      <c r="M24" s="216"/>
      <c r="N24" s="214"/>
      <c r="O24" s="219"/>
      <c r="P24" s="214"/>
      <c r="Q24" s="214"/>
      <c r="R24" s="214"/>
      <c r="S24" s="214"/>
      <c r="T24" s="18"/>
      <c r="U24" s="216"/>
      <c r="V24" s="18"/>
      <c r="W24" s="18"/>
      <c r="X24" s="18"/>
      <c r="Y24" s="221"/>
      <c r="Z24" s="16"/>
    </row>
    <row r="25" spans="2:26" s="17" customFormat="1" ht="15" customHeight="1" x14ac:dyDescent="0.35">
      <c r="B25" s="220">
        <v>9</v>
      </c>
      <c r="C25" s="2"/>
      <c r="D25" s="151" t="s">
        <v>66</v>
      </c>
      <c r="E25" s="225">
        <f>_xlfn.XLOOKUP(C25,'nama pegawai'!B:B,'nama pegawai'!E:E,"")</f>
        <v>0</v>
      </c>
      <c r="F25" s="224" t="s">
        <v>84</v>
      </c>
      <c r="G25" s="215" t="s">
        <v>85</v>
      </c>
      <c r="H25" s="215">
        <v>46170</v>
      </c>
      <c r="I25" s="198" t="s">
        <v>426</v>
      </c>
      <c r="J25" s="226">
        <f>IF(I25="",0,_xlfn.LET(_xlpm.teks,TRIM(I25),_xlpm.posSd,FIND("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25" s="227" t="str">
        <f>IF(J25=0,"",J25&amp;" ("&amp;CHOOSE(MIN(J25,31),"satu","dua","tiga","empat","lima","enam","tujuh","delapan","sembilan","sepuluh","sebelas","dua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25" s="211">
        <v>0</v>
      </c>
      <c r="M25" s="230"/>
      <c r="N25" s="171">
        <v>0</v>
      </c>
      <c r="O25" s="230"/>
      <c r="P25" s="171">
        <v>0</v>
      </c>
      <c r="Q25" s="171">
        <f>N25+P25</f>
        <v>0</v>
      </c>
      <c r="R25" s="171">
        <v>0</v>
      </c>
      <c r="S25" s="171">
        <v>0</v>
      </c>
      <c r="T25" s="15">
        <v>0</v>
      </c>
      <c r="U25" s="230">
        <f>J25*L25</f>
        <v>0</v>
      </c>
      <c r="V25" s="15">
        <v>0</v>
      </c>
      <c r="W25" s="15">
        <v>0</v>
      </c>
      <c r="X25" s="15">
        <f>SUM(Q25:W25)</f>
        <v>0</v>
      </c>
      <c r="Y25" s="241" t="s">
        <v>70</v>
      </c>
      <c r="Z25" s="16"/>
    </row>
    <row r="26" spans="2:26" s="17" customFormat="1" ht="15" customHeight="1" x14ac:dyDescent="0.35">
      <c r="B26" s="221"/>
      <c r="C26" s="3">
        <f>_xlfn.XLOOKUP(C25,'nama pegawai'!B:B,'nama pegawai'!C:C,"")</f>
        <v>0</v>
      </c>
      <c r="D26" s="152"/>
      <c r="E26" s="216"/>
      <c r="F26" s="219"/>
      <c r="G26" s="216"/>
      <c r="H26" s="216"/>
      <c r="I26" s="193"/>
      <c r="J26" s="216"/>
      <c r="K26" s="216"/>
      <c r="L26" s="212"/>
      <c r="M26" s="216"/>
      <c r="N26" s="214"/>
      <c r="O26" s="219"/>
      <c r="P26" s="214"/>
      <c r="Q26" s="214"/>
      <c r="R26" s="214"/>
      <c r="S26" s="214"/>
      <c r="T26" s="18"/>
      <c r="U26" s="216"/>
      <c r="V26" s="18"/>
      <c r="W26" s="18"/>
      <c r="X26" s="18"/>
      <c r="Y26" s="221"/>
      <c r="Z26" s="16"/>
    </row>
    <row r="27" spans="2:26" s="17" customFormat="1" ht="15" customHeight="1" x14ac:dyDescent="0.35">
      <c r="B27" s="220">
        <v>10</v>
      </c>
      <c r="C27" s="22"/>
      <c r="D27" s="153" t="s">
        <v>74</v>
      </c>
      <c r="E27" s="225">
        <f>_xlfn.XLOOKUP(C27,'nama pegawai'!B:B,'nama pegawai'!E:E,"")</f>
        <v>0</v>
      </c>
      <c r="F27" s="224" t="s">
        <v>84</v>
      </c>
      <c r="G27" s="215" t="s">
        <v>85</v>
      </c>
      <c r="H27" s="215">
        <v>46170</v>
      </c>
      <c r="I27" s="198" t="s">
        <v>426</v>
      </c>
      <c r="J27" s="226">
        <f>IF(I27="",0,_xlfn.LET(_xlpm.teks,TRIM(I27),_xlpm.posSd,FIND("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27" s="227" t="str">
        <f>IF(J27=0,"",J27&amp;" ("&amp;CHOOSE(MIN(J27,31),"satu","dua","tiga","empat","lima","enam","tujuh","delapan","sembilan","sepuluh","sebelas","dua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27" s="211">
        <v>0</v>
      </c>
      <c r="M27" s="230"/>
      <c r="N27" s="171">
        <v>0</v>
      </c>
      <c r="O27" s="230"/>
      <c r="P27" s="171">
        <v>0</v>
      </c>
      <c r="Q27" s="171">
        <f>N27+P27</f>
        <v>0</v>
      </c>
      <c r="R27" s="171">
        <v>0</v>
      </c>
      <c r="S27" s="171">
        <v>0</v>
      </c>
      <c r="T27" s="15">
        <v>0</v>
      </c>
      <c r="U27" s="230">
        <f>J27*L27</f>
        <v>0</v>
      </c>
      <c r="V27" s="15">
        <v>0</v>
      </c>
      <c r="W27" s="15">
        <v>0</v>
      </c>
      <c r="X27" s="15">
        <f>SUM(Q27:W27)</f>
        <v>0</v>
      </c>
      <c r="Y27" s="241" t="s">
        <v>70</v>
      </c>
      <c r="Z27" s="16"/>
    </row>
    <row r="28" spans="2:26" s="17" customFormat="1" ht="15" customHeight="1" x14ac:dyDescent="0.35">
      <c r="B28" s="221"/>
      <c r="C28" s="3">
        <f>_xlfn.XLOOKUP(C27,'nama pegawai'!B:B,'nama pegawai'!C:C,"")</f>
        <v>0</v>
      </c>
      <c r="D28" s="154"/>
      <c r="E28" s="216"/>
      <c r="F28" s="219"/>
      <c r="G28" s="216"/>
      <c r="H28" s="216"/>
      <c r="I28" s="193"/>
      <c r="J28" s="216"/>
      <c r="K28" s="216"/>
      <c r="L28" s="212"/>
      <c r="M28" s="216"/>
      <c r="N28" s="214"/>
      <c r="O28" s="219"/>
      <c r="P28" s="214"/>
      <c r="Q28" s="214"/>
      <c r="R28" s="214"/>
      <c r="S28" s="214"/>
      <c r="T28" s="18"/>
      <c r="U28" s="216"/>
      <c r="V28" s="18"/>
      <c r="W28" s="18"/>
      <c r="X28" s="18"/>
      <c r="Y28" s="221"/>
      <c r="Z28" s="16"/>
    </row>
    <row r="29" spans="2:26" s="17" customFormat="1" ht="15" customHeight="1" x14ac:dyDescent="0.35">
      <c r="B29" s="220">
        <v>11</v>
      </c>
      <c r="C29" s="2"/>
      <c r="D29" s="151" t="s">
        <v>66</v>
      </c>
      <c r="E29" s="225">
        <f>_xlfn.XLOOKUP(C29,'nama pegawai'!B:B,'nama pegawai'!E:E,"")</f>
        <v>0</v>
      </c>
      <c r="F29" s="224" t="s">
        <v>84</v>
      </c>
      <c r="G29" s="215" t="s">
        <v>85</v>
      </c>
      <c r="H29" s="215">
        <v>46170</v>
      </c>
      <c r="I29" s="198" t="s">
        <v>426</v>
      </c>
      <c r="J29" s="226">
        <f>IF(I29="",0,_xlfn.LET(_xlpm.teks,TRIM(I29),_xlpm.posSd,FIND("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29" s="227" t="str">
        <f>IF(J29=0,"",J29&amp;" ("&amp;CHOOSE(MIN(J29,31),"satu","dua","tiga","empat","lima","enam","tujuh","delapan","sembilan","sepuluh","sebelas","dua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29" s="211">
        <v>0</v>
      </c>
      <c r="M29" s="230"/>
      <c r="N29" s="171">
        <v>0</v>
      </c>
      <c r="O29" s="230"/>
      <c r="P29" s="171">
        <v>0</v>
      </c>
      <c r="Q29" s="171">
        <f>N29+P29</f>
        <v>0</v>
      </c>
      <c r="R29" s="171">
        <v>0</v>
      </c>
      <c r="S29" s="171">
        <v>0</v>
      </c>
      <c r="T29" s="15">
        <v>0</v>
      </c>
      <c r="U29" s="230">
        <f>J29*L29</f>
        <v>0</v>
      </c>
      <c r="V29" s="15">
        <v>0</v>
      </c>
      <c r="W29" s="15">
        <v>0</v>
      </c>
      <c r="X29" s="15">
        <f>SUM(Q29:W29)</f>
        <v>0</v>
      </c>
      <c r="Y29" s="241" t="s">
        <v>70</v>
      </c>
      <c r="Z29" s="16"/>
    </row>
    <row r="30" spans="2:26" s="17" customFormat="1" ht="15" customHeight="1" x14ac:dyDescent="0.35">
      <c r="B30" s="221"/>
      <c r="C30" s="3">
        <f>_xlfn.XLOOKUP(C29,'nama pegawai'!B:B,'nama pegawai'!C:C,"")</f>
        <v>0</v>
      </c>
      <c r="D30" s="152"/>
      <c r="E30" s="216"/>
      <c r="F30" s="219"/>
      <c r="G30" s="216"/>
      <c r="H30" s="216"/>
      <c r="I30" s="193"/>
      <c r="J30" s="216"/>
      <c r="K30" s="216"/>
      <c r="L30" s="212"/>
      <c r="M30" s="216"/>
      <c r="N30" s="214"/>
      <c r="O30" s="219"/>
      <c r="P30" s="214"/>
      <c r="Q30" s="214"/>
      <c r="R30" s="214"/>
      <c r="S30" s="214"/>
      <c r="T30" s="18"/>
      <c r="U30" s="216"/>
      <c r="V30" s="18"/>
      <c r="W30" s="18"/>
      <c r="X30" s="18"/>
      <c r="Y30" s="221"/>
      <c r="Z30" s="16"/>
    </row>
    <row r="31" spans="2:26" s="17" customFormat="1" ht="15" customHeight="1" x14ac:dyDescent="0.35">
      <c r="B31" s="220">
        <v>12</v>
      </c>
      <c r="C31" s="22"/>
      <c r="D31" s="153" t="s">
        <v>74</v>
      </c>
      <c r="E31" s="225">
        <f>_xlfn.XLOOKUP(C31,'nama pegawai'!B:B,'nama pegawai'!E:E,"")</f>
        <v>0</v>
      </c>
      <c r="F31" s="224" t="s">
        <v>84</v>
      </c>
      <c r="G31" s="215" t="s">
        <v>85</v>
      </c>
      <c r="H31" s="215">
        <v>46170</v>
      </c>
      <c r="I31" s="198" t="s">
        <v>426</v>
      </c>
      <c r="J31" s="226">
        <f>IF(I31="",0,_xlfn.LET(_xlpm.teks,TRIM(I31),_xlpm.posSd,FIND("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31" s="227" t="str">
        <f>IF(J31=0,"",J31&amp;" ("&amp;CHOOSE(MIN(J31,31),"satu","dua","tiga","empat","lima","enam","tujuh","delapan","sembilan","sepuluh","sebelas","dua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31" s="211">
        <v>0</v>
      </c>
      <c r="M31" s="230"/>
      <c r="N31" s="171">
        <v>0</v>
      </c>
      <c r="O31" s="230"/>
      <c r="P31" s="171">
        <v>0</v>
      </c>
      <c r="Q31" s="171">
        <f>N31+P31</f>
        <v>0</v>
      </c>
      <c r="R31" s="171">
        <v>0</v>
      </c>
      <c r="S31" s="171">
        <v>0</v>
      </c>
      <c r="T31" s="15">
        <v>0</v>
      </c>
      <c r="U31" s="230">
        <f>J31*L31</f>
        <v>0</v>
      </c>
      <c r="V31" s="15">
        <v>0</v>
      </c>
      <c r="W31" s="15">
        <v>0</v>
      </c>
      <c r="X31" s="15">
        <f>SUM(Q31:W31)</f>
        <v>0</v>
      </c>
      <c r="Y31" s="241" t="s">
        <v>70</v>
      </c>
      <c r="Z31" s="16"/>
    </row>
    <row r="32" spans="2:26" s="17" customFormat="1" ht="15" customHeight="1" x14ac:dyDescent="0.35">
      <c r="B32" s="221"/>
      <c r="C32" s="3">
        <f>_xlfn.XLOOKUP(C31,'nama pegawai'!B:B,'nama pegawai'!C:C,"")</f>
        <v>0</v>
      </c>
      <c r="D32" s="154"/>
      <c r="E32" s="216"/>
      <c r="F32" s="219"/>
      <c r="G32" s="216"/>
      <c r="H32" s="216"/>
      <c r="I32" s="193"/>
      <c r="J32" s="216"/>
      <c r="K32" s="216"/>
      <c r="L32" s="212"/>
      <c r="M32" s="216"/>
      <c r="N32" s="214"/>
      <c r="O32" s="219"/>
      <c r="P32" s="214"/>
      <c r="Q32" s="214"/>
      <c r="R32" s="214"/>
      <c r="S32" s="214"/>
      <c r="T32" s="18"/>
      <c r="U32" s="216"/>
      <c r="V32" s="18"/>
      <c r="W32" s="18"/>
      <c r="X32" s="18"/>
      <c r="Y32" s="221"/>
      <c r="Z32" s="16"/>
    </row>
    <row r="33" spans="2:27" s="17" customFormat="1" ht="15" customHeight="1" x14ac:dyDescent="0.35">
      <c r="B33" s="220">
        <v>13</v>
      </c>
      <c r="C33" s="2"/>
      <c r="D33" s="147" t="s">
        <v>66</v>
      </c>
      <c r="E33" s="149">
        <f>_xlfn.XLOOKUP(C33,'nama pegawai'!B:B,'nama pegawai'!E:E,"")</f>
        <v>0</v>
      </c>
      <c r="F33" s="224" t="s">
        <v>84</v>
      </c>
      <c r="G33" s="215" t="s">
        <v>85</v>
      </c>
      <c r="H33" s="215">
        <v>46170</v>
      </c>
      <c r="I33" s="198" t="s">
        <v>426</v>
      </c>
      <c r="J33" s="226">
        <f>IF(I33="",0,_xlfn.LET(_xlpm.teks,TRIM(I33),_xlpm.posSd,FIND(" sd ",_xlpm.teks),_xlpm.tglMulai,VALUE(LEFT(_xlpm.teks,_xlpm.posSd-1)),_xlpm.sisaKanan,TRIM(MID(_xlpm.teks,_xlpm.posSd+4,100)),_xlpm.tglSelesai,IF(ISNUMBER(VALUE(LEFT(_xlpm.sisaKanan,FIND(" ",_xlpm.sisaKanan&amp;" ")-1))),VALUE(LEFT(_xlpm.sisaKanan,FIND(" ",_xlpm.sisaKanan&amp;" ")-1)),VALUE(LEFT(_xlpm.sisaKanan,FIND(" ",_xlpm.sisaKanan)-1))),_xlpm.tglSelesai-_xlpm.tglMulai+1))</f>
        <v>1</v>
      </c>
      <c r="K33" s="227" t="str">
        <f>IF(J33=0,"",J33&amp;" ("&amp;CHOOSE(MIN(J33,31),"satu","dua","tiga","empat","lima","enam","tujuh","delapan","sembilan","sepuluh","sebelas","dua belas","tiga belas","empat belas","lima belas","enam belas","tujuh belas","delapan belas","sembilan belas","dua puluh","dua puluh satu","dua puluh dua","dua puluh tiga","dua puluh empat","dua puluh lima","dua puluh enam","dua puluh tujuh","dua puluh delapan","dua puluh sembilan","tiga puluh","tiga puluh satu")&amp;") hari")</f>
        <v>1 (satu) hari</v>
      </c>
      <c r="L33" s="211">
        <v>0</v>
      </c>
      <c r="M33" s="230"/>
      <c r="N33" s="171">
        <v>0</v>
      </c>
      <c r="O33" s="230"/>
      <c r="P33" s="171">
        <v>0</v>
      </c>
      <c r="Q33" s="171">
        <f>N33+P33</f>
        <v>0</v>
      </c>
      <c r="R33" s="171">
        <v>0</v>
      </c>
      <c r="S33" s="171">
        <v>0</v>
      </c>
      <c r="T33" s="15">
        <v>0</v>
      </c>
      <c r="U33" s="230">
        <f>J33*L33</f>
        <v>0</v>
      </c>
      <c r="V33" s="15">
        <v>0</v>
      </c>
      <c r="W33" s="15">
        <v>0</v>
      </c>
      <c r="X33" s="15">
        <f>SUM(Q33:W33)</f>
        <v>0</v>
      </c>
      <c r="Y33" s="241" t="s">
        <v>70</v>
      </c>
      <c r="Z33" s="16"/>
    </row>
    <row r="34" spans="2:27" s="17" customFormat="1" ht="15" customHeight="1" x14ac:dyDescent="0.35">
      <c r="B34" s="221"/>
      <c r="C34" s="3">
        <f>_xlfn.XLOOKUP(C33,'nama pegawai'!B:B,'nama pegawai'!C:C,"")</f>
        <v>0</v>
      </c>
      <c r="D34" s="148"/>
      <c r="E34" s="150"/>
      <c r="F34" s="219"/>
      <c r="G34" s="216"/>
      <c r="H34" s="216"/>
      <c r="I34" s="193"/>
      <c r="J34" s="216"/>
      <c r="K34" s="216"/>
      <c r="L34" s="212"/>
      <c r="M34" s="216"/>
      <c r="N34" s="214"/>
      <c r="O34" s="219"/>
      <c r="P34" s="214"/>
      <c r="Q34" s="214"/>
      <c r="R34" s="214"/>
      <c r="S34" s="214"/>
      <c r="T34" s="18"/>
      <c r="U34" s="216"/>
      <c r="V34" s="18"/>
      <c r="W34" s="18"/>
      <c r="X34" s="18"/>
      <c r="Y34" s="221"/>
      <c r="Z34" s="16"/>
    </row>
    <row r="35" spans="2:27" s="4" customFormat="1" ht="14.5" x14ac:dyDescent="0.35">
      <c r="B35" s="261" t="s">
        <v>86</v>
      </c>
      <c r="C35" s="262"/>
      <c r="D35" s="262"/>
      <c r="E35" s="262"/>
      <c r="F35" s="258"/>
      <c r="G35" s="258"/>
      <c r="H35" s="258"/>
      <c r="I35" s="258"/>
      <c r="J35" s="258"/>
      <c r="K35" s="232"/>
      <c r="L35" s="213">
        <f>SUM(L9:L34)</f>
        <v>3410000</v>
      </c>
      <c r="M35" s="254">
        <f>SUM(Q9:Q34)</f>
        <v>14754441.333333332</v>
      </c>
      <c r="N35" s="255"/>
      <c r="O35" s="255"/>
      <c r="P35" s="255"/>
      <c r="Q35" s="256"/>
      <c r="R35" s="8">
        <f>SUM(R9:R34)</f>
        <v>969000</v>
      </c>
      <c r="S35" s="8">
        <f>SUM(S9:S34)</f>
        <v>1042700</v>
      </c>
      <c r="T35" s="8">
        <f>SUM(T9:T34)</f>
        <v>0</v>
      </c>
      <c r="U35" s="8">
        <f>SUM(U9:U34)</f>
        <v>5310000</v>
      </c>
      <c r="V35" s="8">
        <f>SUM(V9:V34)</f>
        <v>5840000</v>
      </c>
      <c r="W35" s="8">
        <f>SUM(W33:W34)</f>
        <v>0</v>
      </c>
      <c r="X35" s="8">
        <f>SUM(X9:X34)</f>
        <v>3180000</v>
      </c>
      <c r="Y35" s="9"/>
      <c r="Z35" s="10"/>
    </row>
    <row r="36" spans="2:27" s="4" customFormat="1" x14ac:dyDescent="0.3">
      <c r="B36" s="11"/>
      <c r="C36" s="205"/>
      <c r="D36" s="206"/>
      <c r="E36" s="242"/>
      <c r="F36" s="11"/>
      <c r="G36" s="11"/>
      <c r="H36" s="11"/>
      <c r="I36" s="11"/>
      <c r="J36" s="11"/>
      <c r="K36" s="11"/>
      <c r="L36" s="11"/>
      <c r="M36" s="12"/>
      <c r="N36" s="12"/>
      <c r="O36" s="12"/>
      <c r="P36" s="12"/>
      <c r="Q36" s="12"/>
      <c r="R36" s="12"/>
      <c r="S36" s="12"/>
      <c r="T36" s="12"/>
      <c r="U36" s="12"/>
      <c r="V36" s="12"/>
      <c r="W36" s="12"/>
      <c r="X36" s="13"/>
      <c r="Y36" s="14"/>
    </row>
    <row r="37" spans="2:27" s="4" customFormat="1" x14ac:dyDescent="0.3">
      <c r="C37" s="208"/>
      <c r="D37" s="206"/>
      <c r="E37" s="239"/>
      <c r="F37" s="11"/>
      <c r="W37" s="4" t="s">
        <v>87</v>
      </c>
    </row>
    <row r="38" spans="2:27" s="4" customFormat="1" ht="14.25" customHeight="1" x14ac:dyDescent="0.3">
      <c r="C38" s="205"/>
      <c r="D38" s="238"/>
      <c r="E38" s="242"/>
      <c r="F38" s="11"/>
      <c r="I38" s="259"/>
      <c r="J38" s="250"/>
      <c r="K38" s="250"/>
      <c r="L38" s="250"/>
      <c r="M38" s="250"/>
      <c r="N38" s="250"/>
      <c r="O38" s="250"/>
      <c r="P38" s="250"/>
      <c r="Q38" s="250"/>
      <c r="R38" s="250"/>
      <c r="S38" s="250"/>
      <c r="T38" s="4" t="s">
        <v>88</v>
      </c>
      <c r="W38" s="4" t="s">
        <v>89</v>
      </c>
    </row>
    <row r="39" spans="2:27" s="4" customFormat="1" ht="14.25" customHeight="1" x14ac:dyDescent="0.3">
      <c r="C39" s="208"/>
      <c r="D39" s="239"/>
      <c r="E39" s="239"/>
      <c r="F39" s="11"/>
      <c r="I39" s="259"/>
      <c r="J39" s="250"/>
      <c r="K39" s="250"/>
      <c r="L39" s="250"/>
      <c r="M39" s="250"/>
    </row>
    <row r="40" spans="2:27" s="4" customFormat="1" ht="14.25" customHeight="1" x14ac:dyDescent="0.3">
      <c r="C40" s="205"/>
      <c r="D40" s="238"/>
      <c r="E40" s="242"/>
      <c r="F40" s="11"/>
    </row>
    <row r="41" spans="2:27" s="4" customFormat="1" ht="14.25" customHeight="1" x14ac:dyDescent="0.3">
      <c r="C41" s="208"/>
      <c r="D41" s="239"/>
      <c r="E41" s="239"/>
      <c r="F41" s="11"/>
      <c r="K41" s="4" t="s">
        <v>88</v>
      </c>
      <c r="M41" s="4" t="s">
        <v>88</v>
      </c>
    </row>
    <row r="42" spans="2:27" s="4" customFormat="1" ht="14.25" customHeight="1" x14ac:dyDescent="0.3">
      <c r="C42" s="205"/>
      <c r="D42" s="209"/>
      <c r="E42" s="207"/>
      <c r="F42" s="11"/>
    </row>
    <row r="43" spans="2:27" s="4" customFormat="1" ht="14.25" customHeight="1" x14ac:dyDescent="0.3">
      <c r="C43" s="208"/>
      <c r="D43" s="209"/>
      <c r="E43" s="207"/>
      <c r="F43" s="11"/>
      <c r="AA43" s="4" t="s">
        <v>90</v>
      </c>
    </row>
    <row r="44" spans="2:27" s="4" customFormat="1" ht="14.25" customHeight="1" x14ac:dyDescent="0.3">
      <c r="C44" s="205"/>
      <c r="D44" s="238"/>
      <c r="E44" s="242"/>
      <c r="F44" s="11"/>
      <c r="W44" s="4" t="s">
        <v>240</v>
      </c>
    </row>
    <row r="45" spans="2:27" s="4" customFormat="1" ht="14.25" customHeight="1" x14ac:dyDescent="0.3">
      <c r="C45" s="208"/>
      <c r="D45" s="239"/>
      <c r="E45" s="239"/>
      <c r="F45" s="11"/>
      <c r="W45" s="4" t="str">
        <f>"NIP. "&amp;_xlfn.XLOOKUP(W44,'nama pegawai'!B:B,'nama pegawai'!C:C,"")</f>
        <v>NIP. 19840124 200212 1 002</v>
      </c>
    </row>
    <row r="46" spans="2:27" ht="14.25" customHeight="1" x14ac:dyDescent="0.3">
      <c r="C46" s="205"/>
      <c r="D46" s="206"/>
      <c r="E46" s="207"/>
    </row>
    <row r="47" spans="2:27" ht="14.25" customHeight="1" x14ac:dyDescent="0.3">
      <c r="C47" s="208"/>
      <c r="D47" s="206"/>
      <c r="E47" s="207"/>
    </row>
    <row r="48" spans="2:27" ht="14.25" customHeight="1" x14ac:dyDescent="0.3">
      <c r="C48" s="205"/>
      <c r="D48" s="206"/>
      <c r="E48" s="207"/>
    </row>
    <row r="49" spans="3:22" ht="14.25" customHeight="1" x14ac:dyDescent="0.3">
      <c r="C49" s="208"/>
      <c r="D49" s="206"/>
      <c r="E49" s="207"/>
      <c r="F49" s="199" t="s">
        <v>88</v>
      </c>
      <c r="V49" s="55"/>
    </row>
    <row r="50" spans="3:22" ht="14.25" customHeight="1" x14ac:dyDescent="0.3">
      <c r="C50" s="210"/>
      <c r="D50" s="206"/>
      <c r="E50" s="207"/>
    </row>
    <row r="51" spans="3:22" ht="14.25" customHeight="1" x14ac:dyDescent="0.3">
      <c r="C51" s="208"/>
      <c r="D51" s="206"/>
      <c r="E51" s="207"/>
    </row>
    <row r="52" spans="3:22" ht="14.25" customHeight="1" x14ac:dyDescent="0.3">
      <c r="C52" s="205"/>
      <c r="D52" s="206"/>
      <c r="E52" s="207"/>
    </row>
    <row r="53" spans="3:22" ht="14.25" customHeight="1" x14ac:dyDescent="0.3">
      <c r="C53" s="208"/>
      <c r="D53" s="206"/>
      <c r="E53" s="207"/>
    </row>
    <row r="54" spans="3:22" ht="14.25" customHeight="1" x14ac:dyDescent="0.3">
      <c r="C54" s="205"/>
      <c r="D54" s="238"/>
      <c r="E54" s="242"/>
    </row>
    <row r="55" spans="3:22" ht="14.25" customHeight="1" x14ac:dyDescent="0.3">
      <c r="C55" s="208"/>
      <c r="D55" s="239"/>
      <c r="E55" s="239"/>
    </row>
    <row r="56" spans="3:22" ht="14.25" customHeight="1" x14ac:dyDescent="0.3">
      <c r="C56" s="205"/>
      <c r="D56" s="238"/>
      <c r="E56" s="242"/>
    </row>
    <row r="57" spans="3:22" ht="14.25" customHeight="1" x14ac:dyDescent="0.3">
      <c r="C57" s="208"/>
      <c r="D57" s="239"/>
      <c r="E57" s="239"/>
    </row>
  </sheetData>
  <mergeCells count="194">
    <mergeCell ref="I38:S38"/>
    <mergeCell ref="K25:K26"/>
    <mergeCell ref="M19:M20"/>
    <mergeCell ref="B1:Z1"/>
    <mergeCell ref="G31:G32"/>
    <mergeCell ref="H25:H26"/>
    <mergeCell ref="O15:O16"/>
    <mergeCell ref="D44:D45"/>
    <mergeCell ref="L19:L20"/>
    <mergeCell ref="B35:K35"/>
    <mergeCell ref="F29:F30"/>
    <mergeCell ref="K11:K12"/>
    <mergeCell ref="M6:X6"/>
    <mergeCell ref="U13:U14"/>
    <mergeCell ref="M3:O3"/>
    <mergeCell ref="M25:M26"/>
    <mergeCell ref="O25:O26"/>
    <mergeCell ref="G15:G16"/>
    <mergeCell ref="F23:F24"/>
    <mergeCell ref="K31:K32"/>
    <mergeCell ref="O21:O22"/>
    <mergeCell ref="Y13:Y14"/>
    <mergeCell ref="L9:L10"/>
    <mergeCell ref="U21:U22"/>
    <mergeCell ref="D56:D57"/>
    <mergeCell ref="U25:U26"/>
    <mergeCell ref="Z6:Z8"/>
    <mergeCell ref="E11:E12"/>
    <mergeCell ref="C6:C8"/>
    <mergeCell ref="G4:O4"/>
    <mergeCell ref="B19:B20"/>
    <mergeCell ref="M7:Q7"/>
    <mergeCell ref="G29:G30"/>
    <mergeCell ref="F27:F28"/>
    <mergeCell ref="H27:H28"/>
    <mergeCell ref="K23:K24"/>
    <mergeCell ref="Y25:Y26"/>
    <mergeCell ref="M33:M34"/>
    <mergeCell ref="E36:E37"/>
    <mergeCell ref="K13:K14"/>
    <mergeCell ref="E6:E8"/>
    <mergeCell ref="F19:F20"/>
    <mergeCell ref="J17:J18"/>
    <mergeCell ref="O13:O14"/>
    <mergeCell ref="L17:L18"/>
    <mergeCell ref="I39:M39"/>
    <mergeCell ref="L11:L12"/>
    <mergeCell ref="U23:U24"/>
    <mergeCell ref="E56:E57"/>
    <mergeCell ref="H33:H34"/>
    <mergeCell ref="M29:M30"/>
    <mergeCell ref="J33:J34"/>
    <mergeCell ref="Y23:Y24"/>
    <mergeCell ref="J29:J30"/>
    <mergeCell ref="J19:J20"/>
    <mergeCell ref="F15:F16"/>
    <mergeCell ref="J13:J14"/>
    <mergeCell ref="E17:E18"/>
    <mergeCell ref="U27:U28"/>
    <mergeCell ref="L13:L14"/>
    <mergeCell ref="G17:G18"/>
    <mergeCell ref="F25:F26"/>
    <mergeCell ref="K33:K34"/>
    <mergeCell ref="K21:K22"/>
    <mergeCell ref="U17:U18"/>
    <mergeCell ref="H21:H22"/>
    <mergeCell ref="J15:J16"/>
    <mergeCell ref="M35:Q35"/>
    <mergeCell ref="F21:F22"/>
    <mergeCell ref="M15:M16"/>
    <mergeCell ref="Y31:Y32"/>
    <mergeCell ref="F17:F18"/>
    <mergeCell ref="B2:Z2"/>
    <mergeCell ref="G27:G28"/>
    <mergeCell ref="H6:H8"/>
    <mergeCell ref="U9:U10"/>
    <mergeCell ref="G11:G12"/>
    <mergeCell ref="Y6:Y8"/>
    <mergeCell ref="B3:L3"/>
    <mergeCell ref="E4:F4"/>
    <mergeCell ref="M13:M14"/>
    <mergeCell ref="Y27:Y28"/>
    <mergeCell ref="U19:U20"/>
    <mergeCell ref="T7:T8"/>
    <mergeCell ref="V7:V8"/>
    <mergeCell ref="Y19:Y20"/>
    <mergeCell ref="Y9:Y10"/>
    <mergeCell ref="R7:R8"/>
    <mergeCell ref="E29:E30"/>
    <mergeCell ref="M11:M12"/>
    <mergeCell ref="Y29:Y30"/>
    <mergeCell ref="H31:H32"/>
    <mergeCell ref="Y11:Y12"/>
    <mergeCell ref="I6:I8"/>
    <mergeCell ref="E15:E16"/>
    <mergeCell ref="E19:E20"/>
    <mergeCell ref="E9:E10"/>
    <mergeCell ref="Y17:Y18"/>
    <mergeCell ref="Y21:Y22"/>
    <mergeCell ref="S7:S8"/>
    <mergeCell ref="U7:U8"/>
    <mergeCell ref="J27:J28"/>
    <mergeCell ref="W7:W8"/>
    <mergeCell ref="H17:H18"/>
    <mergeCell ref="O11:O12"/>
    <mergeCell ref="X7:X8"/>
    <mergeCell ref="L15:L16"/>
    <mergeCell ref="G19:G20"/>
    <mergeCell ref="E40:E41"/>
    <mergeCell ref="D6:D8"/>
    <mergeCell ref="O31:O32"/>
    <mergeCell ref="E54:E55"/>
    <mergeCell ref="H19:H20"/>
    <mergeCell ref="F6:F8"/>
    <mergeCell ref="E27:E28"/>
    <mergeCell ref="M27:M28"/>
    <mergeCell ref="D9:D10"/>
    <mergeCell ref="F9:F10"/>
    <mergeCell ref="K17:K18"/>
    <mergeCell ref="J25:J26"/>
    <mergeCell ref="M21:M22"/>
    <mergeCell ref="J21:J22"/>
    <mergeCell ref="G25:G26"/>
    <mergeCell ref="L21:L22"/>
    <mergeCell ref="F11:F12"/>
    <mergeCell ref="K19:K20"/>
    <mergeCell ref="M23:M24"/>
    <mergeCell ref="O23:O24"/>
    <mergeCell ref="G9:G10"/>
    <mergeCell ref="O33:O34"/>
    <mergeCell ref="E44:E45"/>
    <mergeCell ref="D11:D12"/>
    <mergeCell ref="D54:D55"/>
    <mergeCell ref="O19:O20"/>
    <mergeCell ref="E25:E26"/>
    <mergeCell ref="K9:K10"/>
    <mergeCell ref="Y33:Y34"/>
    <mergeCell ref="D38:D39"/>
    <mergeCell ref="M9:M10"/>
    <mergeCell ref="O9:O10"/>
    <mergeCell ref="E21:E22"/>
    <mergeCell ref="G21:G22"/>
    <mergeCell ref="H23:H24"/>
    <mergeCell ref="K15:K16"/>
    <mergeCell ref="J23:J24"/>
    <mergeCell ref="K29:K30"/>
    <mergeCell ref="U15:U16"/>
    <mergeCell ref="D40:D41"/>
    <mergeCell ref="Y15:Y16"/>
    <mergeCell ref="G23:G24"/>
    <mergeCell ref="E13:E14"/>
    <mergeCell ref="G13:G14"/>
    <mergeCell ref="E38:E39"/>
    <mergeCell ref="O29:O30"/>
    <mergeCell ref="U33:U34"/>
    <mergeCell ref="H15:H16"/>
    <mergeCell ref="U29:U30"/>
    <mergeCell ref="O8:P8"/>
    <mergeCell ref="M31:M32"/>
    <mergeCell ref="J6:K8"/>
    <mergeCell ref="B15:B16"/>
    <mergeCell ref="F13:F14"/>
    <mergeCell ref="F31:F32"/>
    <mergeCell ref="H13:H14"/>
    <mergeCell ref="U31:U32"/>
    <mergeCell ref="B31:B32"/>
    <mergeCell ref="U11:U12"/>
    <mergeCell ref="H29:H30"/>
    <mergeCell ref="B9:B10"/>
    <mergeCell ref="B21:B22"/>
    <mergeCell ref="B11:B12"/>
    <mergeCell ref="G33:G34"/>
    <mergeCell ref="M17:M18"/>
    <mergeCell ref="O17:O18"/>
    <mergeCell ref="B25:B26"/>
    <mergeCell ref="G6:G8"/>
    <mergeCell ref="B27:B28"/>
    <mergeCell ref="B17:B18"/>
    <mergeCell ref="F33:F34"/>
    <mergeCell ref="E31:E32"/>
    <mergeCell ref="B33:B34"/>
    <mergeCell ref="H9:H10"/>
    <mergeCell ref="J9:J10"/>
    <mergeCell ref="E23:E24"/>
    <mergeCell ref="H11:H12"/>
    <mergeCell ref="J11:J12"/>
    <mergeCell ref="B29:B30"/>
    <mergeCell ref="B23:B24"/>
    <mergeCell ref="K27:K28"/>
    <mergeCell ref="B13:B14"/>
    <mergeCell ref="D13:D14"/>
    <mergeCell ref="J31:J32"/>
    <mergeCell ref="O27:O28"/>
    <mergeCell ref="M8:N8"/>
  </mergeCells>
  <hyperlinks>
    <hyperlink ref="A1" location="'MENU'!A1" display="&lt;&lt; MENU" xr:uid="{00000000-0004-0000-0100-000000000000}"/>
  </hyperlinks>
  <pageMargins left="0.35" right="0.24" top="0.74803149606299213" bottom="0.74803149606299213" header="0.31496062992125978" footer="0.31496062992125978"/>
  <pageSetup paperSize="9" scale="44" orientation="landscape" horizont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E0160FD6-65AD-404F-8A9D-7DC8D74399BB}">
          <x14:formula1>
            <xm:f>'nama pegawai'!$B$4:$B$71</xm:f>
          </x14:formula1>
          <xm:sqref>C9 C11 C13 C15 C17 C19 C21 C23 C25 C27 C29 C31 C33 W44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52"/>
  <sheetViews>
    <sheetView tabSelected="1" view="pageBreakPreview" zoomScale="90" zoomScaleNormal="100" zoomScaleSheetLayoutView="90" workbookViewId="0">
      <pane ySplit="12" topLeftCell="A13" activePane="bottomLeft" state="frozen"/>
      <selection pane="bottomLeft" activeCell="E15" sqref="E15"/>
    </sheetView>
  </sheetViews>
  <sheetFormatPr defaultColWidth="8.90625" defaultRowHeight="14" x14ac:dyDescent="0.3"/>
  <cols>
    <col min="1" max="1" width="8.90625" style="113" customWidth="1"/>
    <col min="2" max="2" width="5.54296875" style="113" customWidth="1"/>
    <col min="3" max="3" width="20.453125" style="113" customWidth="1"/>
    <col min="4" max="5" width="4" style="113" customWidth="1"/>
    <col min="6" max="6" width="3.08984375" style="113" customWidth="1"/>
    <col min="7" max="7" width="3.90625" style="113" customWidth="1"/>
    <col min="8" max="8" width="5.08984375" style="113" customWidth="1"/>
    <col min="9" max="9" width="3.90625" style="113" customWidth="1"/>
    <col min="10" max="10" width="20.08984375" style="113" customWidth="1"/>
    <col min="11" max="11" width="4.54296875" style="113" customWidth="1"/>
    <col min="12" max="12" width="0" style="113" hidden="1"/>
    <col min="13" max="13" width="14.453125" style="113" customWidth="1"/>
    <col min="14" max="14" width="35.90625" style="113" customWidth="1"/>
    <col min="15" max="15" width="8.90625" style="113" customWidth="1"/>
    <col min="16" max="16" width="22.6328125" style="113" customWidth="1"/>
    <col min="17" max="17" width="13.90625" style="113" bestFit="1" customWidth="1"/>
    <col min="18" max="18" width="8.90625" style="113" customWidth="1"/>
    <col min="19" max="16384" width="8.90625" style="113"/>
  </cols>
  <sheetData>
    <row r="1" spans="1:20" s="24" customFormat="1" ht="15.75" customHeight="1" x14ac:dyDescent="0.35">
      <c r="A1" s="192" t="s">
        <v>34</v>
      </c>
      <c r="D1" s="269" t="s">
        <v>92</v>
      </c>
      <c r="E1" s="270"/>
      <c r="F1" s="270"/>
      <c r="G1" s="270"/>
      <c r="H1" s="270"/>
      <c r="I1" s="270"/>
      <c r="J1" s="270"/>
      <c r="K1" s="270"/>
      <c r="L1" s="270"/>
      <c r="M1" s="270"/>
      <c r="N1" s="270"/>
    </row>
    <row r="2" spans="1:20" s="75" customFormat="1" ht="15.75" customHeight="1" x14ac:dyDescent="0.35">
      <c r="D2" s="269" t="s">
        <v>93</v>
      </c>
      <c r="E2" s="282"/>
      <c r="F2" s="282"/>
      <c r="G2" s="282"/>
      <c r="H2" s="282"/>
      <c r="I2" s="282"/>
      <c r="J2" s="282"/>
      <c r="K2" s="282"/>
      <c r="L2" s="282"/>
      <c r="M2" s="282"/>
      <c r="N2" s="282"/>
    </row>
    <row r="3" spans="1:20" s="75" customFormat="1" ht="15.75" customHeight="1" x14ac:dyDescent="0.35">
      <c r="D3" s="269" t="s">
        <v>94</v>
      </c>
      <c r="E3" s="282"/>
      <c r="F3" s="282"/>
      <c r="G3" s="282"/>
      <c r="H3" s="282"/>
      <c r="I3" s="282"/>
      <c r="J3" s="282"/>
      <c r="K3" s="282"/>
      <c r="L3" s="282"/>
      <c r="M3" s="282"/>
      <c r="N3" s="282"/>
    </row>
    <row r="4" spans="1:20" s="75" customFormat="1" ht="17.399999999999999" customHeight="1" x14ac:dyDescent="0.4">
      <c r="D4" s="289" t="s">
        <v>95</v>
      </c>
      <c r="E4" s="282"/>
      <c r="F4" s="282"/>
      <c r="G4" s="282"/>
      <c r="H4" s="282"/>
      <c r="I4" s="282"/>
      <c r="J4" s="282"/>
      <c r="K4" s="282"/>
      <c r="L4" s="282"/>
      <c r="M4" s="282"/>
      <c r="N4" s="282"/>
    </row>
    <row r="5" spans="1:20" s="75" customFormat="1" ht="15.75" customHeight="1" x14ac:dyDescent="0.35">
      <c r="D5" s="281" t="s">
        <v>96</v>
      </c>
      <c r="E5" s="282"/>
      <c r="F5" s="282"/>
      <c r="G5" s="282"/>
      <c r="H5" s="282"/>
      <c r="I5" s="282"/>
      <c r="J5" s="282"/>
      <c r="K5" s="282"/>
      <c r="L5" s="282"/>
      <c r="M5" s="282"/>
      <c r="N5" s="282"/>
    </row>
    <row r="6" spans="1:20" s="75" customFormat="1" ht="15.75" customHeight="1" x14ac:dyDescent="0.35">
      <c r="D6" s="281" t="s">
        <v>97</v>
      </c>
      <c r="E6" s="282"/>
      <c r="F6" s="282"/>
      <c r="G6" s="282"/>
      <c r="H6" s="282"/>
      <c r="I6" s="282"/>
      <c r="J6" s="282"/>
      <c r="K6" s="282"/>
      <c r="L6" s="282"/>
      <c r="M6" s="282"/>
      <c r="N6" s="282"/>
    </row>
    <row r="7" spans="1:20" s="23" customFormat="1" ht="15.65" customHeight="1" x14ac:dyDescent="0.35">
      <c r="B7" s="284"/>
      <c r="C7" s="285"/>
      <c r="D7" s="285"/>
      <c r="E7" s="285"/>
      <c r="F7" s="285"/>
      <c r="G7" s="285"/>
      <c r="H7" s="285"/>
      <c r="I7" s="285"/>
      <c r="J7" s="285"/>
      <c r="K7" s="285"/>
      <c r="L7" s="285"/>
      <c r="M7" s="285"/>
      <c r="N7" s="285"/>
    </row>
    <row r="8" spans="1:20" ht="17.399999999999999" customHeight="1" x14ac:dyDescent="0.35">
      <c r="B8" s="290" t="s">
        <v>98</v>
      </c>
      <c r="C8" s="274"/>
      <c r="D8" s="274"/>
      <c r="E8" s="274"/>
      <c r="F8" s="274"/>
      <c r="G8" s="274"/>
      <c r="H8" s="274"/>
      <c r="I8" s="274"/>
      <c r="J8" s="274"/>
      <c r="K8" s="274"/>
      <c r="L8" s="274"/>
      <c r="M8" s="274"/>
      <c r="N8" s="274"/>
    </row>
    <row r="9" spans="1:20" s="155" customFormat="1" ht="17.399999999999999" customHeight="1" x14ac:dyDescent="0.35">
      <c r="B9" s="287" t="s">
        <v>99</v>
      </c>
      <c r="C9" s="288"/>
      <c r="D9" s="288"/>
      <c r="E9" s="288"/>
      <c r="F9" s="288"/>
      <c r="G9" s="288"/>
      <c r="H9" s="288"/>
      <c r="I9" s="288"/>
      <c r="J9" s="288"/>
      <c r="K9" s="288"/>
      <c r="L9" s="288"/>
      <c r="M9" s="288"/>
      <c r="N9" s="288"/>
    </row>
    <row r="10" spans="1:20" s="155" customFormat="1" ht="17.399999999999999" customHeight="1" x14ac:dyDescent="0.35">
      <c r="B10" s="293" t="s">
        <v>100</v>
      </c>
      <c r="C10" s="288"/>
      <c r="D10" s="288"/>
      <c r="E10" s="288"/>
      <c r="F10" s="288"/>
      <c r="G10" s="288"/>
      <c r="H10" s="288"/>
      <c r="I10" s="288"/>
      <c r="J10" s="288"/>
      <c r="K10" s="288"/>
      <c r="L10" s="288"/>
      <c r="M10" s="288"/>
      <c r="N10" s="288"/>
    </row>
    <row r="11" spans="1:20" s="155" customFormat="1" ht="17.399999999999999" customHeight="1" x14ac:dyDescent="0.35">
      <c r="B11" s="287" t="s">
        <v>101</v>
      </c>
      <c r="C11" s="288"/>
      <c r="D11" s="288"/>
      <c r="E11" s="288"/>
      <c r="F11" s="288"/>
      <c r="G11" s="288"/>
      <c r="H11" s="288"/>
      <c r="I11" s="288"/>
      <c r="J11" s="288"/>
      <c r="K11" s="288"/>
      <c r="L11" s="288"/>
      <c r="M11" s="288"/>
      <c r="N11" s="288"/>
    </row>
    <row r="12" spans="1:20" s="155" customFormat="1" ht="17.399999999999999" customHeight="1" x14ac:dyDescent="0.35">
      <c r="B12" s="287" t="s">
        <v>102</v>
      </c>
      <c r="C12" s="288"/>
      <c r="D12" s="288"/>
      <c r="E12" s="288"/>
      <c r="F12" s="288"/>
      <c r="G12" s="288"/>
      <c r="H12" s="288"/>
      <c r="I12" s="288"/>
      <c r="J12" s="288"/>
      <c r="K12" s="288"/>
      <c r="L12" s="288"/>
      <c r="M12" s="288"/>
      <c r="N12" s="288"/>
    </row>
    <row r="13" spans="1:20" ht="17.399999999999999" customHeight="1" x14ac:dyDescent="0.35">
      <c r="B13" s="114"/>
      <c r="C13" s="114"/>
      <c r="D13" s="114"/>
      <c r="E13" s="114"/>
      <c r="F13" s="114"/>
      <c r="G13" s="114"/>
      <c r="H13" s="114"/>
      <c r="I13" s="114"/>
      <c r="J13" s="114"/>
      <c r="K13" s="114"/>
      <c r="L13" s="114"/>
      <c r="M13" s="114"/>
      <c r="N13" s="114"/>
    </row>
    <row r="14" spans="1:20" ht="15" customHeight="1" x14ac:dyDescent="0.3">
      <c r="B14" s="115" t="s">
        <v>103</v>
      </c>
      <c r="C14" s="115"/>
      <c r="D14" s="115"/>
      <c r="E14" s="115"/>
      <c r="F14" s="115"/>
      <c r="G14" s="115"/>
      <c r="H14" s="115"/>
      <c r="I14" s="115"/>
      <c r="J14" s="116"/>
      <c r="K14" s="115"/>
      <c r="L14" s="115"/>
      <c r="M14" s="115"/>
      <c r="N14" s="115"/>
      <c r="T14" s="117"/>
    </row>
    <row r="15" spans="1:20" ht="15" customHeight="1" x14ac:dyDescent="0.3">
      <c r="C15" s="115" t="s">
        <v>104</v>
      </c>
      <c r="D15" s="118" t="s">
        <v>105</v>
      </c>
      <c r="E15" s="115" t="str">
        <f>'Isi Disini'!C9</f>
        <v xml:space="preserve">SYECH MUKHAMAR REZA KHARAMI, S.H. </v>
      </c>
      <c r="G15" s="115"/>
      <c r="H15" s="115"/>
      <c r="I15" s="115"/>
      <c r="J15" s="119"/>
      <c r="K15" s="115"/>
      <c r="L15" s="115"/>
      <c r="M15" s="115"/>
      <c r="N15" s="115"/>
    </row>
    <row r="16" spans="1:20" ht="15" customHeight="1" x14ac:dyDescent="0.3">
      <c r="C16" s="115" t="s">
        <v>106</v>
      </c>
      <c r="D16" s="118" t="s">
        <v>105</v>
      </c>
      <c r="E16" s="116" t="str">
        <f>'Isi Disini'!C10</f>
        <v>19840831 200312 1 001</v>
      </c>
      <c r="G16" s="115"/>
      <c r="H16" s="115"/>
      <c r="I16" s="115"/>
      <c r="J16" s="119"/>
      <c r="K16" s="115"/>
      <c r="L16" s="115"/>
      <c r="M16" s="115"/>
      <c r="N16" s="115"/>
    </row>
    <row r="17" spans="2:20" ht="15" customHeight="1" x14ac:dyDescent="0.3">
      <c r="C17" s="115" t="s">
        <v>107</v>
      </c>
      <c r="D17" s="118" t="s">
        <v>105</v>
      </c>
      <c r="E17" s="115" t="str">
        <f>'Isi Disini'!E9</f>
        <v>KASI REG, ADMINISTRASI &amp; PELAPORAN</v>
      </c>
      <c r="G17" s="115"/>
      <c r="H17" s="115"/>
      <c r="I17" s="115"/>
      <c r="J17" s="119"/>
      <c r="K17" s="115"/>
      <c r="L17" s="115"/>
      <c r="M17" s="115"/>
      <c r="N17" s="115"/>
    </row>
    <row r="18" spans="2:20" ht="15" customHeight="1" x14ac:dyDescent="0.3">
      <c r="B18" s="115"/>
      <c r="C18" s="115"/>
      <c r="D18" s="118"/>
      <c r="E18" s="115"/>
      <c r="G18" s="115"/>
      <c r="H18" s="115"/>
      <c r="I18" s="115"/>
      <c r="J18" s="119"/>
      <c r="K18" s="115"/>
      <c r="L18" s="115"/>
      <c r="M18" s="115"/>
      <c r="N18" s="115"/>
    </row>
    <row r="19" spans="2:20" ht="15" customHeight="1" x14ac:dyDescent="0.3">
      <c r="B19" s="115" t="s">
        <v>108</v>
      </c>
      <c r="C19" s="115"/>
      <c r="D19" s="118"/>
      <c r="E19" s="115"/>
      <c r="G19" s="115"/>
      <c r="H19" s="115"/>
      <c r="I19" s="115"/>
      <c r="J19" s="119"/>
      <c r="K19" s="115"/>
      <c r="L19" s="115"/>
      <c r="M19" s="115"/>
      <c r="N19" s="115"/>
      <c r="P19" s="119" t="s">
        <v>109</v>
      </c>
    </row>
    <row r="20" spans="2:20" ht="15" customHeight="1" x14ac:dyDescent="0.3">
      <c r="B20" s="115"/>
      <c r="C20" s="115" t="s">
        <v>110</v>
      </c>
      <c r="D20" s="118" t="s">
        <v>105</v>
      </c>
      <c r="E20" s="119" t="str">
        <f>'Isi Disini'!Q3</f>
        <v>5 Mei 2026</v>
      </c>
      <c r="G20" s="120"/>
      <c r="H20" s="115"/>
      <c r="I20" s="115"/>
      <c r="J20" s="119"/>
      <c r="K20" s="115"/>
      <c r="L20" s="115"/>
      <c r="M20" s="115"/>
      <c r="N20" s="115"/>
      <c r="P20" s="115" t="s">
        <v>111</v>
      </c>
      <c r="T20" s="113" t="s">
        <v>88</v>
      </c>
    </row>
    <row r="21" spans="2:20" ht="15" customHeight="1" x14ac:dyDescent="0.3">
      <c r="B21" s="115"/>
      <c r="C21" s="115" t="s">
        <v>112</v>
      </c>
      <c r="D21" s="118" t="s">
        <v>105</v>
      </c>
      <c r="E21" s="115" t="str">
        <f>'Isi Disini'!M3</f>
        <v>WIM.16.IMI.1-TI.04.01- 2438</v>
      </c>
      <c r="G21" s="120"/>
      <c r="H21" s="115"/>
      <c r="I21" s="115"/>
      <c r="J21" s="119"/>
      <c r="K21" s="115"/>
      <c r="L21" s="115"/>
      <c r="M21" s="115"/>
      <c r="N21" s="115"/>
    </row>
    <row r="22" spans="2:20" ht="8.4" customHeight="1" x14ac:dyDescent="0.3">
      <c r="B22" s="115"/>
      <c r="C22" s="115"/>
      <c r="D22" s="115"/>
      <c r="E22" s="120"/>
      <c r="G22" s="120"/>
      <c r="H22" s="115"/>
      <c r="I22" s="115"/>
      <c r="J22" s="119"/>
      <c r="K22" s="115"/>
      <c r="L22" s="115"/>
      <c r="M22" s="115"/>
      <c r="N22" s="115"/>
    </row>
    <row r="23" spans="2:20" ht="15" customHeight="1" x14ac:dyDescent="0.3">
      <c r="B23" s="115" t="s">
        <v>113</v>
      </c>
      <c r="C23" s="115"/>
      <c r="D23" s="115"/>
      <c r="E23" s="115"/>
      <c r="F23" s="115"/>
      <c r="G23" s="115"/>
      <c r="H23" s="115"/>
      <c r="I23" s="115"/>
      <c r="J23" s="119"/>
      <c r="K23" s="115"/>
      <c r="L23" s="115"/>
      <c r="M23" s="115"/>
      <c r="N23" s="115"/>
    </row>
    <row r="24" spans="2:20" ht="15" customHeight="1" x14ac:dyDescent="0.3">
      <c r="B24" s="121" t="s">
        <v>114</v>
      </c>
      <c r="C24" s="122" t="s">
        <v>115</v>
      </c>
      <c r="D24" s="115"/>
      <c r="E24" s="115"/>
      <c r="F24" s="115"/>
      <c r="G24" s="115"/>
      <c r="H24" s="115"/>
      <c r="I24" s="115"/>
      <c r="J24" s="119"/>
      <c r="K24" s="115"/>
      <c r="L24" s="115"/>
      <c r="M24" s="115"/>
      <c r="N24" s="115"/>
    </row>
    <row r="25" spans="2:20" ht="6.9" customHeight="1" thickBot="1" x14ac:dyDescent="0.35">
      <c r="B25" s="121"/>
      <c r="C25" s="122"/>
      <c r="D25" s="115"/>
      <c r="E25" s="115"/>
      <c r="F25" s="115"/>
      <c r="G25" s="115"/>
      <c r="H25" s="115"/>
      <c r="I25" s="115"/>
      <c r="J25" s="119"/>
      <c r="K25" s="115"/>
      <c r="L25" s="115"/>
      <c r="M25" s="115"/>
      <c r="N25" s="115"/>
    </row>
    <row r="26" spans="2:20" ht="24" customHeight="1" thickBot="1" x14ac:dyDescent="0.4">
      <c r="B26" s="123" t="s">
        <v>116</v>
      </c>
      <c r="C26" s="278" t="s">
        <v>117</v>
      </c>
      <c r="D26" s="279"/>
      <c r="E26" s="279"/>
      <c r="F26" s="279"/>
      <c r="G26" s="279"/>
      <c r="H26" s="279"/>
      <c r="I26" s="279"/>
      <c r="J26" s="280"/>
      <c r="K26" s="292" t="s">
        <v>118</v>
      </c>
      <c r="L26" s="279"/>
      <c r="M26" s="280"/>
      <c r="N26" s="124" t="s">
        <v>119</v>
      </c>
      <c r="R26" s="125" t="s">
        <v>120</v>
      </c>
    </row>
    <row r="27" spans="2:20" ht="15.65" customHeight="1" thickTop="1" x14ac:dyDescent="0.3">
      <c r="B27" s="126"/>
      <c r="C27" s="127"/>
      <c r="D27" s="128"/>
      <c r="E27" s="128"/>
      <c r="F27" s="128"/>
      <c r="G27" s="128"/>
      <c r="H27" s="128"/>
      <c r="I27" s="128"/>
      <c r="J27" s="128"/>
      <c r="K27" s="127"/>
      <c r="L27" s="128"/>
      <c r="M27" s="129"/>
      <c r="N27" s="130"/>
      <c r="R27" s="125" t="s">
        <v>121</v>
      </c>
    </row>
    <row r="28" spans="2:20" ht="15.65" customHeight="1" x14ac:dyDescent="0.35">
      <c r="B28" s="131" t="s">
        <v>122</v>
      </c>
      <c r="C28" s="125" t="s">
        <v>123</v>
      </c>
      <c r="D28" s="115"/>
      <c r="E28" s="115"/>
      <c r="F28" s="115"/>
      <c r="G28" s="115"/>
      <c r="H28" s="115"/>
      <c r="I28" s="115"/>
      <c r="J28" s="115"/>
      <c r="K28" s="286">
        <f>D30*G30*J30</f>
        <v>7950000</v>
      </c>
      <c r="L28" s="274"/>
      <c r="M28" s="236"/>
      <c r="N28" s="283" t="str">
        <f>R38</f>
        <v>Biaya Pengamatan/Penyusupan/ Penyurupan/Penelitian/Penjejakan</v>
      </c>
      <c r="P28" s="271" t="s">
        <v>124</v>
      </c>
      <c r="R28" s="125" t="s">
        <v>125</v>
      </c>
    </row>
    <row r="29" spans="2:20" ht="15" customHeight="1" x14ac:dyDescent="0.35">
      <c r="B29" s="131"/>
      <c r="C29" s="125" t="s">
        <v>126</v>
      </c>
      <c r="D29" s="273" t="str">
        <f>'Isi Disini'!E4</f>
        <v>Tanggal 6 sd 8 Mei 2026</v>
      </c>
      <c r="E29" s="274"/>
      <c r="F29" s="274"/>
      <c r="G29" s="274"/>
      <c r="H29" s="274"/>
      <c r="I29" s="274"/>
      <c r="J29" s="236"/>
      <c r="K29" s="125"/>
      <c r="L29" s="115"/>
      <c r="M29" s="132"/>
      <c r="N29" s="272"/>
      <c r="P29" s="272"/>
      <c r="R29" s="125" t="s">
        <v>123</v>
      </c>
    </row>
    <row r="30" spans="2:20" ht="15" customHeight="1" x14ac:dyDescent="0.3">
      <c r="B30" s="133"/>
      <c r="C30" s="125"/>
      <c r="D30" s="134">
        <v>5</v>
      </c>
      <c r="E30" s="134" t="s">
        <v>127</v>
      </c>
      <c r="F30" s="134" t="s">
        <v>128</v>
      </c>
      <c r="G30" s="134">
        <v>3</v>
      </c>
      <c r="H30" s="134" t="s">
        <v>129</v>
      </c>
      <c r="I30" s="134" t="s">
        <v>128</v>
      </c>
      <c r="J30" s="135">
        <f>'Isi Disini'!L9</f>
        <v>530000</v>
      </c>
      <c r="K30" s="125"/>
      <c r="L30" s="115"/>
      <c r="M30" s="132"/>
      <c r="N30" s="272"/>
      <c r="P30" s="272"/>
      <c r="R30" s="125" t="s">
        <v>130</v>
      </c>
    </row>
    <row r="31" spans="2:20" ht="15" customHeight="1" x14ac:dyDescent="0.3">
      <c r="B31" s="166"/>
      <c r="C31" s="125"/>
      <c r="D31" s="161"/>
      <c r="E31" s="161"/>
      <c r="F31" s="161"/>
      <c r="G31" s="161"/>
      <c r="H31" s="161"/>
      <c r="I31" s="161"/>
      <c r="J31" s="162"/>
      <c r="K31" s="160"/>
      <c r="L31" s="164"/>
      <c r="M31" s="165"/>
      <c r="N31" s="272"/>
      <c r="P31" s="158"/>
      <c r="R31" s="115"/>
    </row>
    <row r="32" spans="2:20" ht="15" customHeight="1" x14ac:dyDescent="0.3">
      <c r="B32" s="159" t="s">
        <v>131</v>
      </c>
      <c r="C32" s="160" t="s">
        <v>132</v>
      </c>
      <c r="D32" s="161"/>
      <c r="E32" s="161"/>
      <c r="F32" s="161"/>
      <c r="G32" s="161"/>
      <c r="H32" s="161"/>
      <c r="I32" s="161"/>
      <c r="J32" s="162"/>
      <c r="K32" s="163" t="s">
        <v>133</v>
      </c>
      <c r="L32" s="164"/>
      <c r="M32" s="165">
        <f>D33*G33*J33</f>
        <v>1700000</v>
      </c>
      <c r="N32" s="272"/>
      <c r="P32" s="158"/>
      <c r="R32" s="115"/>
    </row>
    <row r="33" spans="2:18" ht="15" customHeight="1" x14ac:dyDescent="0.3">
      <c r="B33" s="166"/>
      <c r="C33" s="160"/>
      <c r="D33" s="161">
        <v>1</v>
      </c>
      <c r="E33" s="161" t="s">
        <v>127</v>
      </c>
      <c r="F33" s="161" t="s">
        <v>134</v>
      </c>
      <c r="G33" s="161">
        <v>1</v>
      </c>
      <c r="H33" s="161" t="s">
        <v>135</v>
      </c>
      <c r="I33" s="161" t="s">
        <v>134</v>
      </c>
      <c r="J33" s="162">
        <v>1700000</v>
      </c>
      <c r="K33" s="160"/>
      <c r="L33" s="164"/>
      <c r="M33" s="165"/>
      <c r="N33" s="272"/>
      <c r="P33" s="173" t="s">
        <v>136</v>
      </c>
      <c r="Q33" s="174" t="s">
        <v>137</v>
      </c>
      <c r="R33" s="175"/>
    </row>
    <row r="34" spans="2:18" ht="15.65" customHeight="1" thickBot="1" x14ac:dyDescent="0.35">
      <c r="B34" s="166"/>
      <c r="C34" s="160"/>
      <c r="D34" s="161"/>
      <c r="E34" s="161"/>
      <c r="F34" s="161"/>
      <c r="G34" s="161"/>
      <c r="H34" s="161"/>
      <c r="I34" s="161"/>
      <c r="J34" s="162"/>
      <c r="K34" s="160"/>
      <c r="L34" s="164"/>
      <c r="M34" s="165"/>
      <c r="N34" s="272"/>
      <c r="P34" s="158"/>
      <c r="R34" s="115"/>
    </row>
    <row r="35" spans="2:18" ht="39" customHeight="1" thickBot="1" x14ac:dyDescent="0.4">
      <c r="B35" s="136" t="s">
        <v>88</v>
      </c>
      <c r="C35" s="275" t="s">
        <v>63</v>
      </c>
      <c r="D35" s="276"/>
      <c r="E35" s="276"/>
      <c r="F35" s="276"/>
      <c r="G35" s="276"/>
      <c r="H35" s="276"/>
      <c r="I35" s="276"/>
      <c r="J35" s="277"/>
      <c r="K35" s="291">
        <f>SUM(K27:M34)</f>
        <v>9650000</v>
      </c>
      <c r="L35" s="276"/>
      <c r="M35" s="277"/>
      <c r="N35" s="200" t="str" cm="1">
        <f t="array" ref="N35">_xlfn.LET(_xlpm.n,INT(K35),_xlpm.ratusan,_xlfn.LAMBDA(_xlpm.x,IF(_xlpm.x=0,"",IF(_xlpm.x&lt;10,CHOOSE(_xlpm.x,"Satu","Dua","Tiga","Empat","Lima","Enam","Tujuh","Delapan","Sembilan"),IF(_xlpm.x&lt;20,CHOOSE(_xlpm.x-9,"Sepuluh","Sebelas","Dua Belas","Tiga Belas","Empat Belas","Lima Belas","Enam Belas","Tujuh Belas","Delapan Belas","Sembilan Belas"),TRIM(IF(INT(_xlpm.x/100)&gt;0,CHOOSE(INT(_xlpm.x/100),"Seratus","Dua Ratus","Tiga Ratus","Empat Ratus","Lima Ratus","Enam Ratus","Tujuh Ratus","Delapan Ratus","Sembilan Ratus"),"")&amp;" "&amp;IF(MOD(_xlpm.x,100)=0,"",IF(MOD(_xlpm.x,100)&lt;10,CHOOSE(MOD(_xlpm.x,100),"Satu","Dua","Tiga","Empat","Lima","Enam","Tujuh","Delapan","Sembilan"),IF(MOD(_xlpm.x,100)&lt;20,CHOOSE(MOD(_xlpm.x,100)-9,"Sepuluh","Sebelas","Dua Belas","Tiga Belas","Empat Belas","Lima Belas","Enam Belas","Tujuh Belas","Delapan Belas","Sembilan Belas"),TRIM(CHOOSE(INT(MOD(_xlpm.x,100)/10),"","Dua Puluh","Tiga Puluh","Empat Puluh","Lima Puluh","Enam Puluh","Tujuh Puluh","Delapan Puluh","Sembilan Puluh")&amp;IF(MOD(_xlpm.x,10)&gt;0," "&amp;CHOOSE(MOD(_xlpm.x,10),"Satu","Dua","Tiga","Empat","Lima","Enam","Tujuh","Delapan","Sembilan"),"")))))))))),_xlpm.triliun,INT(_xlpm.n/1000000000000),_xlpm.miliar,INT(MOD(_xlpm.n,1000000000000)/1000000000),_xlpm.juta,INT(MOD(_xlpm.n,1000000000)/1000000),_xlpm.ribu,INT(MOD(_xlpm.n,1000000)/1000),_xlpm.sisa,MOD(_xlpm.n,1000),PROPER(TRIM(IF(_xlpm.triliun&gt;0,_xlpm.ratusan(_xlpm.triliun)&amp;" Triliun","")&amp;" "&amp;IF(_xlpm.miliar&gt;0,_xlpm.ratusan(_xlpm.miliar)&amp;" Miliar","")&amp;" "&amp;IF(_xlpm.juta&gt;0,_xlpm.ratusan(_xlpm.juta)&amp;" Juta","")&amp;" "&amp;IF(_xlpm.ribu&gt;0,IF(_xlpm.ribu=1,"Seribu",_xlpm.ratusan(_xlpm.ribu)&amp;" Ribu"),"")&amp;" "&amp;IF(_xlpm.sisa&gt;0,_xlpm.ratusan(_xlpm.sisa),""))&amp;" Rupiah"))</f>
        <v>Sembilan Juta Enam Ratus Lima Puluh Ribu Rupiah</v>
      </c>
      <c r="P35" s="283" t="s">
        <v>138</v>
      </c>
      <c r="R35" s="156" t="s">
        <v>139</v>
      </c>
    </row>
    <row r="36" spans="2:18" ht="15" customHeight="1" x14ac:dyDescent="0.3">
      <c r="B36" s="138"/>
      <c r="C36" s="139"/>
      <c r="D36" s="139"/>
      <c r="E36" s="139"/>
      <c r="F36" s="139"/>
      <c r="G36" s="139"/>
      <c r="H36" s="139"/>
      <c r="I36" s="139"/>
      <c r="J36" s="139"/>
      <c r="K36" s="140"/>
      <c r="L36" s="140"/>
      <c r="M36" s="140"/>
      <c r="N36" s="138"/>
      <c r="P36" s="272"/>
      <c r="R36" s="156"/>
    </row>
    <row r="37" spans="2:18" ht="15" customHeight="1" x14ac:dyDescent="0.3">
      <c r="B37" s="116" t="s">
        <v>140</v>
      </c>
      <c r="C37" s="115" t="s">
        <v>141</v>
      </c>
      <c r="D37" s="115"/>
      <c r="E37" s="115"/>
      <c r="F37" s="115"/>
      <c r="G37" s="115"/>
      <c r="H37" s="115"/>
      <c r="I37" s="115"/>
      <c r="J37" s="115"/>
      <c r="K37" s="115"/>
      <c r="L37" s="115"/>
      <c r="M37" s="115"/>
      <c r="N37" s="115"/>
      <c r="P37" s="272"/>
      <c r="R37" s="156"/>
    </row>
    <row r="38" spans="2:18" ht="15" customHeight="1" x14ac:dyDescent="0.3">
      <c r="B38" s="115"/>
      <c r="C38" s="115" t="s">
        <v>142</v>
      </c>
      <c r="D38" s="115"/>
      <c r="E38" s="115"/>
      <c r="F38" s="115"/>
      <c r="G38" s="115"/>
      <c r="H38" s="115"/>
      <c r="I38" s="115"/>
      <c r="J38" s="115"/>
      <c r="K38" s="115"/>
      <c r="L38" s="115"/>
      <c r="M38" s="115"/>
      <c r="N38" s="115"/>
      <c r="R38" s="157" t="s">
        <v>143</v>
      </c>
    </row>
    <row r="39" spans="2:18" ht="15" customHeight="1" x14ac:dyDescent="0.3">
      <c r="B39" s="115"/>
      <c r="C39" s="115" t="s">
        <v>144</v>
      </c>
      <c r="D39" s="115"/>
      <c r="E39" s="115"/>
      <c r="F39" s="115"/>
      <c r="G39" s="115"/>
      <c r="H39" s="115"/>
      <c r="I39" s="115"/>
      <c r="J39" s="115"/>
      <c r="K39" s="115"/>
      <c r="L39" s="115"/>
      <c r="M39" s="115"/>
      <c r="N39" s="115"/>
    </row>
    <row r="40" spans="2:18" ht="15" customHeight="1" x14ac:dyDescent="0.3">
      <c r="B40" s="115"/>
      <c r="C40" s="115"/>
      <c r="D40" s="115"/>
      <c r="E40" s="115"/>
      <c r="F40" s="115"/>
      <c r="G40" s="115"/>
      <c r="H40" s="115"/>
      <c r="I40" s="115"/>
      <c r="J40" s="115"/>
      <c r="K40" s="115"/>
      <c r="L40" s="115"/>
      <c r="M40" s="115"/>
      <c r="N40" s="115"/>
    </row>
    <row r="41" spans="2:18" ht="15" customHeight="1" x14ac:dyDescent="0.3">
      <c r="B41" s="115"/>
      <c r="C41" s="115" t="s">
        <v>145</v>
      </c>
      <c r="D41" s="115"/>
      <c r="E41" s="115"/>
      <c r="F41" s="115"/>
      <c r="G41" s="115"/>
      <c r="H41" s="115"/>
      <c r="I41" s="115"/>
      <c r="J41" s="115"/>
      <c r="K41" s="115"/>
      <c r="L41" s="115"/>
      <c r="M41" s="115"/>
      <c r="N41" s="115"/>
    </row>
    <row r="42" spans="2:18" ht="15" customHeight="1" x14ac:dyDescent="0.3">
      <c r="B42" s="115"/>
      <c r="C42" s="115"/>
      <c r="D42" s="115"/>
      <c r="E42" s="115"/>
      <c r="F42" s="115"/>
      <c r="G42" s="115"/>
      <c r="H42" s="115"/>
      <c r="I42" s="115"/>
      <c r="J42" s="115"/>
      <c r="K42" s="115"/>
      <c r="L42" s="115"/>
      <c r="M42" s="115"/>
      <c r="N42" s="115"/>
    </row>
    <row r="43" spans="2:18" ht="15" customHeight="1" x14ac:dyDescent="0.3">
      <c r="B43" s="115"/>
      <c r="C43" s="115"/>
      <c r="D43" s="115"/>
      <c r="E43" s="115"/>
      <c r="F43" s="115"/>
      <c r="G43" s="115"/>
      <c r="H43" s="115"/>
      <c r="I43" s="115"/>
      <c r="J43" s="115"/>
      <c r="K43" s="115"/>
      <c r="L43" s="115"/>
      <c r="M43" s="115"/>
      <c r="N43" s="115"/>
    </row>
    <row r="44" spans="2:18" ht="15" customHeight="1" x14ac:dyDescent="0.3">
      <c r="B44" s="115"/>
      <c r="C44" s="115"/>
      <c r="D44" s="115"/>
      <c r="E44" s="115"/>
      <c r="F44" s="115"/>
      <c r="G44" s="115"/>
      <c r="H44" s="115"/>
      <c r="I44" s="115"/>
      <c r="J44" s="115"/>
      <c r="K44" s="115" t="str">
        <f>'Isi Disini'!W37</f>
        <v>Pontianak,</v>
      </c>
      <c r="L44" s="115"/>
      <c r="N44" s="115"/>
    </row>
    <row r="45" spans="2:18" ht="15" customHeight="1" x14ac:dyDescent="0.3">
      <c r="B45" s="115"/>
      <c r="C45" s="115" t="s">
        <v>146</v>
      </c>
      <c r="D45" s="115"/>
      <c r="E45" s="115"/>
      <c r="F45" s="115"/>
      <c r="G45" s="115"/>
      <c r="H45" s="115"/>
      <c r="I45" s="115"/>
      <c r="J45" s="115"/>
      <c r="K45" s="115" t="s">
        <v>147</v>
      </c>
      <c r="L45" s="115"/>
      <c r="N45" s="119"/>
    </row>
    <row r="46" spans="2:18" ht="15" customHeight="1" x14ac:dyDescent="0.3">
      <c r="B46" s="115"/>
      <c r="C46" s="141" t="s">
        <v>148</v>
      </c>
      <c r="D46" s="141"/>
      <c r="E46" s="141"/>
      <c r="F46" s="141"/>
      <c r="G46" s="115"/>
      <c r="H46" s="115"/>
      <c r="I46" s="115"/>
      <c r="J46" s="115"/>
      <c r="K46" s="115" t="str">
        <f>E17</f>
        <v>KASI REG, ADMINISTRASI &amp; PELAPORAN</v>
      </c>
      <c r="L46" s="115"/>
      <c r="N46" s="115"/>
    </row>
    <row r="47" spans="2:18" ht="15" customHeight="1" x14ac:dyDescent="0.3">
      <c r="B47" s="115"/>
      <c r="C47" s="115"/>
      <c r="D47" s="115"/>
      <c r="E47" s="115"/>
      <c r="F47" s="115"/>
      <c r="G47" s="115"/>
      <c r="H47" s="115"/>
      <c r="I47" s="115"/>
      <c r="J47" s="115"/>
      <c r="K47" s="115"/>
      <c r="L47" s="115"/>
      <c r="M47" s="115"/>
      <c r="N47" s="115"/>
    </row>
    <row r="48" spans="2:18" ht="15" customHeight="1" x14ac:dyDescent="0.3">
      <c r="B48" s="115"/>
      <c r="C48" s="115"/>
      <c r="D48" s="115"/>
      <c r="E48" s="115"/>
      <c r="F48" s="115"/>
      <c r="G48" s="115"/>
      <c r="H48" s="115"/>
      <c r="I48" s="115"/>
      <c r="J48" s="115"/>
      <c r="K48" s="115"/>
      <c r="L48" s="115"/>
      <c r="M48" s="115"/>
      <c r="N48" s="115"/>
    </row>
    <row r="49" spans="2:14" ht="15" customHeight="1" x14ac:dyDescent="0.3">
      <c r="B49" s="115"/>
      <c r="C49" s="115"/>
      <c r="D49" s="115"/>
      <c r="E49" s="115"/>
      <c r="F49" s="115"/>
      <c r="G49" s="115"/>
      <c r="H49" s="115"/>
      <c r="I49" s="115"/>
      <c r="J49" s="115"/>
      <c r="K49" s="115"/>
      <c r="L49" s="115"/>
      <c r="M49" s="115"/>
      <c r="N49" s="115"/>
    </row>
    <row r="50" spans="2:14" ht="15" customHeight="1" x14ac:dyDescent="0.3">
      <c r="B50" s="115"/>
      <c r="C50" s="115"/>
      <c r="D50" s="115"/>
      <c r="E50" s="115"/>
      <c r="F50" s="115"/>
      <c r="G50" s="115"/>
      <c r="H50" s="115"/>
      <c r="I50" s="115"/>
      <c r="J50" s="115"/>
      <c r="K50" s="115"/>
      <c r="L50" s="115"/>
      <c r="M50" s="115"/>
      <c r="N50" s="115"/>
    </row>
    <row r="51" spans="2:14" ht="15" customHeight="1" x14ac:dyDescent="0.3">
      <c r="B51" s="115"/>
      <c r="C51" s="115" t="s">
        <v>244</v>
      </c>
      <c r="D51" s="141"/>
      <c r="E51" s="141"/>
      <c r="F51" s="141"/>
      <c r="G51" s="141"/>
      <c r="H51" s="141"/>
      <c r="I51" s="141"/>
      <c r="J51" s="141"/>
      <c r="K51" s="115" t="str">
        <f>E15</f>
        <v xml:space="preserve">SYECH MUKHAMAR REZA KHARAMI, S.H. </v>
      </c>
      <c r="L51" s="141"/>
      <c r="N51" s="142"/>
    </row>
    <row r="52" spans="2:14" ht="15" customHeight="1" x14ac:dyDescent="0.3">
      <c r="B52" s="115"/>
      <c r="C52" s="141" t="str">
        <f>"NIP. "&amp;_xlfn.XLOOKUP(C51,'nama pegawai'!B:B,'nama pegawai'!C:C,"")</f>
        <v>NIP. 19840831 200312 1 001</v>
      </c>
      <c r="D52" s="143"/>
      <c r="E52" s="143"/>
      <c r="F52" s="143"/>
      <c r="G52" s="143"/>
      <c r="H52" s="143"/>
      <c r="I52" s="143"/>
      <c r="J52" s="143"/>
      <c r="K52" s="143" t="s">
        <v>151</v>
      </c>
      <c r="L52" s="143"/>
      <c r="M52" s="115" t="str">
        <f>E16</f>
        <v>19840831 200312 1 001</v>
      </c>
      <c r="N52" s="143"/>
    </row>
  </sheetData>
  <mergeCells count="21">
    <mergeCell ref="D5:N5"/>
    <mergeCell ref="K35:M35"/>
    <mergeCell ref="K26:M26"/>
    <mergeCell ref="B10:N10"/>
    <mergeCell ref="B9:N9"/>
    <mergeCell ref="D1:N1"/>
    <mergeCell ref="P28:P30"/>
    <mergeCell ref="D29:J29"/>
    <mergeCell ref="C35:J35"/>
    <mergeCell ref="C26:J26"/>
    <mergeCell ref="D6:N6"/>
    <mergeCell ref="N28:N34"/>
    <mergeCell ref="D2:N2"/>
    <mergeCell ref="B7:N7"/>
    <mergeCell ref="P35:P37"/>
    <mergeCell ref="K28:M28"/>
    <mergeCell ref="B12:N12"/>
    <mergeCell ref="B11:N11"/>
    <mergeCell ref="D4:N4"/>
    <mergeCell ref="D3:N3"/>
    <mergeCell ref="B8:N8"/>
  </mergeCells>
  <hyperlinks>
    <hyperlink ref="A1" location="'MENU'!A1" display="&lt;&lt; MENU" xr:uid="{00000000-0004-0000-0200-000000000000}"/>
  </hyperlinks>
  <printOptions horizontalCentered="1"/>
  <pageMargins left="0.19685039370078741" right="0.15748031496062989" top="0.47244094488188981" bottom="0.74803149606299213" header="0.23622047244094491" footer="0.31496062992125978"/>
  <pageSetup paperSize="9" scale="79" orientation="portrait" horizontalDpi="360" verticalDpi="36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DD10D08-0398-4456-A402-AF664A0BC30C}">
          <x14:formula1>
            <xm:f>'nama pegawai'!$B$4:$B$71</xm:f>
          </x14:formula1>
          <xm:sqref>C51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U31"/>
  <sheetViews>
    <sheetView view="pageBreakPreview" topLeftCell="F1" zoomScale="80" zoomScaleNormal="100" zoomScaleSheetLayoutView="80" workbookViewId="0">
      <selection activeCell="Q27" sqref="Q27"/>
    </sheetView>
  </sheetViews>
  <sheetFormatPr defaultColWidth="9.08984375" defaultRowHeight="14" x14ac:dyDescent="0.3"/>
  <cols>
    <col min="1" max="1" width="9.08984375" style="1" customWidth="1"/>
    <col min="2" max="2" width="5.36328125" style="1" customWidth="1"/>
    <col min="3" max="3" width="36.08984375" style="1" bestFit="1" customWidth="1"/>
    <col min="4" max="4" width="6.6328125" style="1" customWidth="1"/>
    <col min="5" max="5" width="26.90625" style="1" customWidth="1"/>
    <col min="6" max="6" width="13.36328125" style="1" customWidth="1"/>
    <col min="7" max="7" width="22.08984375" style="1" customWidth="1"/>
    <col min="8" max="8" width="12.6328125" style="1" customWidth="1"/>
    <col min="9" max="9" width="12" style="1" customWidth="1"/>
    <col min="10" max="10" width="13.36328125" style="1" customWidth="1"/>
    <col min="11" max="11" width="12" style="1" customWidth="1"/>
    <col min="12" max="12" width="13.54296875" style="1" customWidth="1"/>
    <col min="13" max="13" width="12.54296875" style="1" customWidth="1"/>
    <col min="14" max="16" width="13.6328125" style="1" customWidth="1"/>
    <col min="17" max="17" width="11.453125" style="1" customWidth="1"/>
    <col min="18" max="18" width="17" style="1" customWidth="1"/>
    <col min="19" max="19" width="20.36328125" style="1" customWidth="1"/>
    <col min="20" max="20" width="14.6328125" style="1" customWidth="1"/>
    <col min="21" max="21" width="13.54296875" style="1" customWidth="1"/>
    <col min="22" max="22" width="9.08984375" style="1" customWidth="1"/>
    <col min="23" max="16384" width="9.08984375" style="1"/>
  </cols>
  <sheetData>
    <row r="1" spans="1:20" s="4" customFormat="1" x14ac:dyDescent="0.3">
      <c r="A1" s="192" t="s">
        <v>34</v>
      </c>
      <c r="B1" s="300" t="str">
        <f>'Isi Disini'!B1</f>
        <v>DAFTAR NOMINATIF PEMBAYARAN PERJALANAN DINAS</v>
      </c>
      <c r="C1" s="301"/>
      <c r="D1" s="301"/>
      <c r="E1" s="301"/>
      <c r="F1" s="301"/>
      <c r="G1" s="301"/>
      <c r="H1" s="301"/>
      <c r="I1" s="301"/>
      <c r="J1" s="301"/>
      <c r="K1" s="301"/>
      <c r="L1" s="301"/>
      <c r="M1" s="301"/>
      <c r="N1" s="301"/>
      <c r="O1" s="301"/>
      <c r="P1" s="301"/>
      <c r="Q1" s="301"/>
      <c r="R1" s="301"/>
      <c r="S1" s="301"/>
      <c r="T1" s="301"/>
    </row>
    <row r="2" spans="1:20" s="4" customFormat="1" x14ac:dyDescent="0.3">
      <c r="B2" s="300" t="str">
        <f>'Isi Disini'!B2</f>
        <v>MELAKUKAN KEGIATAN KOORDINASI TERKAIT CONTACT CENTRE DAN PENANGANAN PENGADUAN PADA KANTOR IMIGRASI KELAS I TPI PONTIANAK KE DIREKTORAT JENDERAL IMIGRASI JAKARTA</v>
      </c>
      <c r="C2" s="301"/>
      <c r="D2" s="301"/>
      <c r="E2" s="301"/>
      <c r="F2" s="301"/>
      <c r="G2" s="301"/>
      <c r="H2" s="301"/>
      <c r="I2" s="301"/>
      <c r="J2" s="301"/>
      <c r="K2" s="301"/>
      <c r="L2" s="301"/>
      <c r="M2" s="301"/>
      <c r="N2" s="301"/>
      <c r="O2" s="301"/>
      <c r="P2" s="301"/>
      <c r="Q2" s="301"/>
      <c r="R2" s="301"/>
      <c r="S2" s="301"/>
      <c r="T2" s="301"/>
    </row>
    <row r="3" spans="1:20" s="4" customFormat="1" x14ac:dyDescent="0.3">
      <c r="B3" s="252" t="s">
        <v>152</v>
      </c>
      <c r="C3" s="250"/>
      <c r="D3" s="250"/>
      <c r="E3" s="250"/>
      <c r="F3" s="250"/>
      <c r="G3" s="250"/>
      <c r="H3" s="250"/>
      <c r="I3" s="250"/>
      <c r="J3" s="144" t="str">
        <f>'Isi Disini'!M3</f>
        <v>WIM.16.IMI.1-TI.04.01- 2438</v>
      </c>
      <c r="K3" s="144"/>
      <c r="L3" s="144"/>
      <c r="M3" s="182" t="s">
        <v>427</v>
      </c>
      <c r="N3" s="144" t="str">
        <f>'Isi Disini'!Q3</f>
        <v>5 Mei 2026</v>
      </c>
      <c r="O3" s="144"/>
      <c r="P3" s="144"/>
      <c r="Q3" s="144"/>
      <c r="R3" s="144"/>
      <c r="S3" s="144"/>
      <c r="T3" s="144"/>
    </row>
    <row r="4" spans="1:20" s="4" customFormat="1" x14ac:dyDescent="0.3">
      <c r="B4" s="5"/>
      <c r="C4" s="5"/>
      <c r="D4" s="5"/>
      <c r="E4" s="5"/>
      <c r="F4" s="5"/>
      <c r="G4" s="5"/>
      <c r="H4" s="5"/>
      <c r="I4" s="5"/>
      <c r="J4" s="5"/>
      <c r="K4" s="5"/>
      <c r="L4" s="5"/>
      <c r="M4" s="5"/>
      <c r="N4" s="5"/>
      <c r="O4" s="5"/>
      <c r="P4" s="5"/>
      <c r="Q4" s="5"/>
      <c r="R4" s="5"/>
      <c r="S4" s="5"/>
      <c r="T4" s="5"/>
    </row>
    <row r="5" spans="1:20" s="4" customFormat="1" x14ac:dyDescent="0.3"/>
    <row r="6" spans="1:20" s="6" customFormat="1" ht="14.5" x14ac:dyDescent="0.35">
      <c r="B6" s="19" t="s">
        <v>44</v>
      </c>
      <c r="C6" s="222" t="s">
        <v>45</v>
      </c>
      <c r="D6" s="233" t="s">
        <v>46</v>
      </c>
      <c r="E6" s="222" t="s">
        <v>47</v>
      </c>
      <c r="F6" s="222" t="s">
        <v>48</v>
      </c>
      <c r="G6" s="222" t="s">
        <v>51</v>
      </c>
      <c r="H6" s="222" t="s">
        <v>52</v>
      </c>
      <c r="I6" s="251" t="s">
        <v>53</v>
      </c>
      <c r="J6" s="258"/>
      <c r="K6" s="258"/>
      <c r="L6" s="258"/>
      <c r="M6" s="258"/>
      <c r="N6" s="258"/>
      <c r="O6" s="258"/>
      <c r="P6" s="258"/>
      <c r="Q6" s="258"/>
      <c r="R6" s="232"/>
      <c r="S6" s="251" t="s">
        <v>54</v>
      </c>
      <c r="T6" s="246" t="s">
        <v>55</v>
      </c>
    </row>
    <row r="7" spans="1:20" s="6" customFormat="1" ht="30.75" customHeight="1" x14ac:dyDescent="0.35">
      <c r="B7" s="20"/>
      <c r="C7" s="223"/>
      <c r="D7" s="223"/>
      <c r="E7" s="223"/>
      <c r="F7" s="223"/>
      <c r="G7" s="223"/>
      <c r="H7" s="223"/>
      <c r="I7" s="251" t="s">
        <v>57</v>
      </c>
      <c r="J7" s="258"/>
      <c r="K7" s="232"/>
      <c r="L7" s="246" t="s">
        <v>58</v>
      </c>
      <c r="M7" s="222" t="s">
        <v>59</v>
      </c>
      <c r="N7" s="247" t="s">
        <v>60</v>
      </c>
      <c r="O7" s="247" t="s">
        <v>56</v>
      </c>
      <c r="P7" s="247" t="s">
        <v>61</v>
      </c>
      <c r="Q7" s="247" t="s">
        <v>62</v>
      </c>
      <c r="R7" s="248" t="s">
        <v>63</v>
      </c>
      <c r="S7" s="223"/>
      <c r="T7" s="223"/>
    </row>
    <row r="8" spans="1:20" s="4" customFormat="1" x14ac:dyDescent="0.3">
      <c r="B8" s="21"/>
      <c r="C8" s="223"/>
      <c r="D8" s="216"/>
      <c r="E8" s="223"/>
      <c r="F8" s="223"/>
      <c r="G8" s="223"/>
      <c r="H8" s="223"/>
      <c r="I8" s="7" t="s">
        <v>64</v>
      </c>
      <c r="J8" s="7" t="s">
        <v>65</v>
      </c>
      <c r="K8" s="7" t="s">
        <v>63</v>
      </c>
      <c r="L8" s="223"/>
      <c r="M8" s="223"/>
      <c r="N8" s="223"/>
      <c r="O8" s="223"/>
      <c r="P8" s="223"/>
      <c r="Q8" s="223"/>
      <c r="R8" s="236"/>
      <c r="S8" s="216"/>
      <c r="T8" s="223"/>
    </row>
    <row r="9" spans="1:20" s="17" customFormat="1" ht="15" customHeight="1" x14ac:dyDescent="0.35">
      <c r="B9" s="220">
        <v>1</v>
      </c>
      <c r="C9" s="2" t="str">
        <f>'Isi Disini'!C9</f>
        <v xml:space="preserve">SYECH MUKHAMAR REZA KHARAMI, S.H. </v>
      </c>
      <c r="D9" s="225" t="str">
        <f>'Isi Disini'!D9</f>
        <v>III</v>
      </c>
      <c r="E9" s="225" t="str">
        <f>'Isi Disini'!E9</f>
        <v>KASI REG, ADMINISTRASI &amp; PELAPORAN</v>
      </c>
      <c r="F9" s="296" t="str">
        <f>'Isi Disini'!F9</f>
        <v>Jakarta</v>
      </c>
      <c r="G9" s="294" t="str">
        <f>'Isi Disini'!I9</f>
        <v>28 sd 28 Mei 2026</v>
      </c>
      <c r="H9" s="227" t="str">
        <f>'Isi Disini'!K9</f>
        <v>1 (satu) hari</v>
      </c>
      <c r="I9" s="201">
        <f>'Isi Disini'!N9</f>
        <v>1550263</v>
      </c>
      <c r="J9" s="201">
        <f>'Isi Disini'!P9</f>
        <v>1481947.3333333333</v>
      </c>
      <c r="K9" s="201">
        <f>I9+J9</f>
        <v>3032210.333333333</v>
      </c>
      <c r="L9" s="201">
        <f>SUM('Isi Disini'!R9:R10)</f>
        <v>250000</v>
      </c>
      <c r="M9" s="201">
        <f>SUM('Isi Disini'!S9:S10)</f>
        <v>96200</v>
      </c>
      <c r="N9" s="201">
        <f>'Isi Disini'!T9</f>
        <v>0</v>
      </c>
      <c r="O9" s="201">
        <f>'Isi Disini'!U9</f>
        <v>530000</v>
      </c>
      <c r="P9" s="201">
        <f>'Isi Disini'!V9</f>
        <v>1460000</v>
      </c>
      <c r="Q9" s="201">
        <f>'Isi Disini'!W9</f>
        <v>0</v>
      </c>
      <c r="R9" s="201">
        <f>SUM(K9:Q9)</f>
        <v>5368410.333333333</v>
      </c>
      <c r="S9" s="241" t="s">
        <v>70</v>
      </c>
      <c r="T9" s="295">
        <v>1</v>
      </c>
    </row>
    <row r="10" spans="1:20" s="17" customFormat="1" ht="15" customHeight="1" x14ac:dyDescent="0.35">
      <c r="B10" s="221"/>
      <c r="C10" s="73" t="str">
        <f>'Isi Disini'!C10</f>
        <v>19840831 200312 1 001</v>
      </c>
      <c r="D10" s="216"/>
      <c r="E10" s="216"/>
      <c r="F10" s="216"/>
      <c r="G10" s="216"/>
      <c r="H10" s="216"/>
      <c r="I10" s="202"/>
      <c r="J10" s="202"/>
      <c r="K10" s="202"/>
      <c r="L10" s="202"/>
      <c r="M10" s="202"/>
      <c r="N10" s="202"/>
      <c r="O10" s="202"/>
      <c r="P10" s="202"/>
      <c r="Q10" s="202"/>
      <c r="R10" s="202"/>
      <c r="S10" s="221"/>
      <c r="T10" s="216"/>
    </row>
    <row r="11" spans="1:20" s="17" customFormat="1" ht="15" customHeight="1" x14ac:dyDescent="0.35">
      <c r="B11" s="220">
        <v>2</v>
      </c>
      <c r="C11" s="2" t="str">
        <f>'Isi Disini'!C11</f>
        <v xml:space="preserve">SAULINA SIMORANGKIR, S.S. </v>
      </c>
      <c r="D11" s="225" t="str">
        <f>'Isi Disini'!D11</f>
        <v>III</v>
      </c>
      <c r="E11" s="225" t="str">
        <f>'Isi Disini'!E11</f>
        <v>KASUBSI REGISTRASI</v>
      </c>
      <c r="F11" s="296" t="str">
        <f>'Isi Disini'!F9</f>
        <v>Jakarta</v>
      </c>
      <c r="G11" s="294" t="str">
        <f>'Isi Disini'!I9</f>
        <v>28 sd 28 Mei 2026</v>
      </c>
      <c r="H11" s="227" t="str">
        <f>'Isi Disini'!K9</f>
        <v>1 (satu) hari</v>
      </c>
      <c r="I11" s="201">
        <f>'Isi Disini'!N11</f>
        <v>1550263</v>
      </c>
      <c r="J11" s="201">
        <f>'Isi Disini'!P11</f>
        <v>1481947.3333333333</v>
      </c>
      <c r="K11" s="201">
        <f>'Isi Disini'!Q11</f>
        <v>3032210.333333333</v>
      </c>
      <c r="L11" s="201">
        <f>SUM('Isi Disini'!R11:R12)</f>
        <v>500000</v>
      </c>
      <c r="M11" s="201">
        <f>SUM('Isi Disini'!S11:S12)</f>
        <v>311500</v>
      </c>
      <c r="N11" s="201">
        <f>'Isi Disini'!T9</f>
        <v>0</v>
      </c>
      <c r="O11" s="201">
        <f>'Isi Disini'!U9</f>
        <v>530000</v>
      </c>
      <c r="P11" s="203">
        <f>'Isi Disini'!V11</f>
        <v>1460000</v>
      </c>
      <c r="Q11" s="201">
        <f>'Isi Disini'!W9</f>
        <v>0</v>
      </c>
      <c r="R11" s="201">
        <f>SUM(K11:Q11)</f>
        <v>5833710.333333333</v>
      </c>
      <c r="S11" s="241" t="s">
        <v>70</v>
      </c>
      <c r="T11" s="295">
        <v>2</v>
      </c>
    </row>
    <row r="12" spans="1:20" s="17" customFormat="1" ht="15" customHeight="1" x14ac:dyDescent="0.35">
      <c r="B12" s="221"/>
      <c r="C12" s="73" t="str">
        <f>'Isi Disini'!C12</f>
        <v>19800803 200912 2 001</v>
      </c>
      <c r="D12" s="216"/>
      <c r="E12" s="216"/>
      <c r="F12" s="216"/>
      <c r="G12" s="216"/>
      <c r="H12" s="216"/>
      <c r="I12" s="202"/>
      <c r="J12" s="202"/>
      <c r="K12" s="202"/>
      <c r="L12" s="202"/>
      <c r="M12" s="202"/>
      <c r="N12" s="202"/>
      <c r="O12" s="202"/>
      <c r="P12" s="202"/>
      <c r="Q12" s="202"/>
      <c r="R12" s="202"/>
      <c r="S12" s="221"/>
      <c r="T12" s="216"/>
    </row>
    <row r="13" spans="1:20" s="17" customFormat="1" ht="15" customHeight="1" x14ac:dyDescent="0.35">
      <c r="B13" s="220">
        <v>3</v>
      </c>
      <c r="C13" s="2">
        <f>'Isi Disini'!C13</f>
        <v>0</v>
      </c>
      <c r="D13" s="225" t="str">
        <f>'Isi Disini'!D13</f>
        <v>II</v>
      </c>
      <c r="E13" s="225">
        <f>'Isi Disini'!E13</f>
        <v>0</v>
      </c>
      <c r="F13" s="296" t="str">
        <f>'Isi Disini'!F11</f>
        <v>Jakarta</v>
      </c>
      <c r="G13" s="294" t="str">
        <f>'Isi Disini'!I11</f>
        <v>28 sd 28 Mei 2026</v>
      </c>
      <c r="H13" s="227" t="str">
        <f>'Isi Disini'!K11</f>
        <v>1 (satu) hari</v>
      </c>
      <c r="I13" s="201">
        <f>'Isi Disini'!N13</f>
        <v>1550263</v>
      </c>
      <c r="J13" s="201">
        <f>'Isi Disini'!P13</f>
        <v>1481947.3333333333</v>
      </c>
      <c r="K13" s="201">
        <f>'Isi Disini'!Q13</f>
        <v>3032210.333333333</v>
      </c>
      <c r="L13" s="201">
        <f>SUM('Isi Disini'!R13:R14)</f>
        <v>0</v>
      </c>
      <c r="M13" s="201">
        <f>SUM('Isi Disini'!S13:S14)</f>
        <v>246000</v>
      </c>
      <c r="N13" s="201">
        <f>'Isi Disini'!T11</f>
        <v>0</v>
      </c>
      <c r="O13" s="201">
        <f>'Isi Disini'!U11</f>
        <v>530000</v>
      </c>
      <c r="P13" s="203">
        <f>'Isi Disini'!V13</f>
        <v>1460000</v>
      </c>
      <c r="Q13" s="201">
        <f>'Isi Disini'!W11</f>
        <v>0</v>
      </c>
      <c r="R13" s="201">
        <f>SUM(K13:Q13)</f>
        <v>5268210.333333333</v>
      </c>
      <c r="S13" s="241" t="s">
        <v>70</v>
      </c>
      <c r="T13" s="295">
        <v>3</v>
      </c>
    </row>
    <row r="14" spans="1:20" s="17" customFormat="1" ht="15" customHeight="1" x14ac:dyDescent="0.35">
      <c r="B14" s="221"/>
      <c r="C14" s="73">
        <f>'Isi Disini'!C14</f>
        <v>0</v>
      </c>
      <c r="D14" s="216"/>
      <c r="E14" s="216"/>
      <c r="F14" s="216"/>
      <c r="G14" s="216"/>
      <c r="H14" s="216"/>
      <c r="I14" s="202"/>
      <c r="J14" s="202"/>
      <c r="K14" s="202"/>
      <c r="L14" s="202"/>
      <c r="M14" s="202"/>
      <c r="N14" s="202"/>
      <c r="O14" s="202"/>
      <c r="P14" s="202"/>
      <c r="Q14" s="202"/>
      <c r="R14" s="202"/>
      <c r="S14" s="221"/>
      <c r="T14" s="216"/>
    </row>
    <row r="15" spans="1:20" s="17" customFormat="1" ht="15" customHeight="1" x14ac:dyDescent="0.35">
      <c r="B15" s="220">
        <v>4</v>
      </c>
      <c r="C15" s="2">
        <f>'Isi Disini'!C15</f>
        <v>0</v>
      </c>
      <c r="D15" s="225" t="str">
        <f>'Isi Disini'!D15</f>
        <v>II</v>
      </c>
      <c r="E15" s="225">
        <f>'Isi Disini'!E15</f>
        <v>0</v>
      </c>
      <c r="F15" s="296" t="str">
        <f>'Isi Disini'!F13</f>
        <v>Jakarta</v>
      </c>
      <c r="G15" s="294" t="str">
        <f>'Isi Disini'!I13</f>
        <v>28 sd 28 Mei 2026</v>
      </c>
      <c r="H15" s="227" t="str">
        <f>'Isi Disini'!K13</f>
        <v>1 (satu) hari</v>
      </c>
      <c r="I15" s="201">
        <f>'Isi Disini'!N15</f>
        <v>1550263</v>
      </c>
      <c r="J15" s="201">
        <f>'Isi Disini'!P15</f>
        <v>1481947.3333333333</v>
      </c>
      <c r="K15" s="201">
        <f>'Isi Disini'!Q15</f>
        <v>3032210.333333333</v>
      </c>
      <c r="L15" s="201">
        <f>SUM('Isi Disini'!R15:R16)</f>
        <v>219000</v>
      </c>
      <c r="M15" s="201">
        <f>SUM('Isi Disini'!S15:S16)</f>
        <v>301000</v>
      </c>
      <c r="N15" s="201">
        <f>'Isi Disini'!T13</f>
        <v>0</v>
      </c>
      <c r="O15" s="201">
        <f>'Isi Disini'!U13</f>
        <v>530000</v>
      </c>
      <c r="P15" s="203">
        <f>'Isi Disini'!V15</f>
        <v>1460000</v>
      </c>
      <c r="Q15" s="201">
        <f>'Isi Disini'!W13</f>
        <v>0</v>
      </c>
      <c r="R15" s="201">
        <f>SUM(K15:Q15)</f>
        <v>5542210.333333333</v>
      </c>
      <c r="S15" s="241" t="s">
        <v>70</v>
      </c>
      <c r="T15" s="295">
        <v>4</v>
      </c>
    </row>
    <row r="16" spans="1:20" s="17" customFormat="1" ht="15" customHeight="1" x14ac:dyDescent="0.35">
      <c r="B16" s="221"/>
      <c r="C16" s="73">
        <f>'Isi Disini'!C16</f>
        <v>0</v>
      </c>
      <c r="D16" s="216"/>
      <c r="E16" s="216"/>
      <c r="F16" s="216"/>
      <c r="G16" s="216"/>
      <c r="H16" s="216"/>
      <c r="I16" s="202"/>
      <c r="J16" s="202"/>
      <c r="K16" s="202"/>
      <c r="L16" s="202"/>
      <c r="M16" s="202"/>
      <c r="N16" s="202"/>
      <c r="O16" s="202"/>
      <c r="P16" s="202"/>
      <c r="Q16" s="202"/>
      <c r="R16" s="202"/>
      <c r="S16" s="221"/>
      <c r="T16" s="216"/>
    </row>
    <row r="17" spans="2:21" s="4" customFormat="1" ht="14.5" x14ac:dyDescent="0.35">
      <c r="B17" s="261" t="s">
        <v>86</v>
      </c>
      <c r="C17" s="258"/>
      <c r="D17" s="258"/>
      <c r="E17" s="258"/>
      <c r="F17" s="258"/>
      <c r="G17" s="258"/>
      <c r="H17" s="232"/>
      <c r="I17" s="297">
        <f>SUM(K9:K16)</f>
        <v>12128841.333333332</v>
      </c>
      <c r="J17" s="298"/>
      <c r="K17" s="299"/>
      <c r="L17" s="204">
        <f>SUM(L9:L16)</f>
        <v>969000</v>
      </c>
      <c r="M17" s="204">
        <f>SUM(M9:M16)</f>
        <v>954700</v>
      </c>
      <c r="N17" s="204">
        <f>SUM(N9:N12)</f>
        <v>0</v>
      </c>
      <c r="O17" s="204">
        <f>SUM(O9:O16)</f>
        <v>2120000</v>
      </c>
      <c r="P17" s="204">
        <f>SUM(P9:P16)</f>
        <v>5840000</v>
      </c>
      <c r="Q17" s="204">
        <v>0</v>
      </c>
      <c r="R17" s="204">
        <f>SUM(R9:R16)</f>
        <v>22012541.333333332</v>
      </c>
      <c r="S17" s="9"/>
      <c r="T17" s="10"/>
    </row>
    <row r="18" spans="2:21" s="4" customFormat="1" x14ac:dyDescent="0.3">
      <c r="B18" s="11"/>
      <c r="C18" s="5"/>
      <c r="D18" s="11"/>
      <c r="E18" s="11"/>
      <c r="F18" s="11"/>
      <c r="G18" s="11"/>
      <c r="H18" s="11"/>
      <c r="I18" s="12"/>
      <c r="J18" s="12"/>
      <c r="K18" s="12"/>
      <c r="L18" s="12"/>
      <c r="M18" s="12"/>
      <c r="N18" s="12"/>
      <c r="O18" s="12"/>
      <c r="P18" s="12"/>
      <c r="Q18" s="12"/>
      <c r="R18" s="13"/>
      <c r="S18" s="14"/>
    </row>
    <row r="19" spans="2:21" s="4" customFormat="1" x14ac:dyDescent="0.3">
      <c r="D19" s="4" t="s">
        <v>146</v>
      </c>
      <c r="Q19" s="4" t="str">
        <f>'Isi Disini'!W37</f>
        <v>Pontianak,</v>
      </c>
    </row>
    <row r="20" spans="2:21" s="4" customFormat="1" x14ac:dyDescent="0.3">
      <c r="D20" s="4" t="s">
        <v>153</v>
      </c>
      <c r="H20" s="4" t="s">
        <v>88</v>
      </c>
      <c r="K20" s="4" t="s">
        <v>88</v>
      </c>
      <c r="Q20" s="4" t="s">
        <v>89</v>
      </c>
    </row>
    <row r="21" spans="2:21" s="4" customFormat="1" x14ac:dyDescent="0.3">
      <c r="G21" s="4" t="s">
        <v>88</v>
      </c>
    </row>
    <row r="22" spans="2:21" s="4" customFormat="1" x14ac:dyDescent="0.3"/>
    <row r="23" spans="2:21" s="4" customFormat="1" x14ac:dyDescent="0.3">
      <c r="E23" s="4" t="s">
        <v>88</v>
      </c>
      <c r="H23" s="4" t="s">
        <v>88</v>
      </c>
      <c r="I23" s="4" t="s">
        <v>88</v>
      </c>
    </row>
    <row r="24" spans="2:21" s="4" customFormat="1" x14ac:dyDescent="0.3"/>
    <row r="25" spans="2:21" s="4" customFormat="1" x14ac:dyDescent="0.3">
      <c r="U25" s="4" t="s">
        <v>90</v>
      </c>
    </row>
    <row r="26" spans="2:21" s="4" customFormat="1" x14ac:dyDescent="0.3">
      <c r="D26" s="4" t="str">
        <f>'DPR PIC'!C51</f>
        <v xml:space="preserve">SYECH MUKHAMAR REZA KHARAMI, S.H. </v>
      </c>
      <c r="Q26" s="4" t="str">
        <f>'Isi Disini'!W44</f>
        <v xml:space="preserve">MUHAMMAD REZA, S.H. </v>
      </c>
    </row>
    <row r="27" spans="2:21" s="4" customFormat="1" x14ac:dyDescent="0.3">
      <c r="D27" s="4" t="str">
        <f>'DPR PIC'!C52</f>
        <v>NIP. 19840831 200312 1 001</v>
      </c>
      <c r="Q27" s="4" t="str">
        <f>'Isi Disini'!W45</f>
        <v>NIP. 19840124 200212 1 002</v>
      </c>
    </row>
    <row r="31" spans="2:21" x14ac:dyDescent="0.3">
      <c r="F31" s="1" t="s">
        <v>88</v>
      </c>
      <c r="P31" s="55"/>
    </row>
  </sheetData>
  <mergeCells count="54">
    <mergeCell ref="T15:T16"/>
    <mergeCell ref="G9:G10"/>
    <mergeCell ref="B13:B14"/>
    <mergeCell ref="D13:D14"/>
    <mergeCell ref="S9:S10"/>
    <mergeCell ref="B1:T1"/>
    <mergeCell ref="G6:G8"/>
    <mergeCell ref="L7:L8"/>
    <mergeCell ref="N7:N8"/>
    <mergeCell ref="G11:G12"/>
    <mergeCell ref="S6:S8"/>
    <mergeCell ref="B2:T2"/>
    <mergeCell ref="Q7:Q8"/>
    <mergeCell ref="E6:E8"/>
    <mergeCell ref="I17:K17"/>
    <mergeCell ref="G15:G16"/>
    <mergeCell ref="E11:E12"/>
    <mergeCell ref="S15:S16"/>
    <mergeCell ref="S11:S12"/>
    <mergeCell ref="B17:H17"/>
    <mergeCell ref="B15:B16"/>
    <mergeCell ref="F13:F14"/>
    <mergeCell ref="B9:B10"/>
    <mergeCell ref="D15:D16"/>
    <mergeCell ref="H13:H14"/>
    <mergeCell ref="D9:D10"/>
    <mergeCell ref="F9:F10"/>
    <mergeCell ref="H15:H16"/>
    <mergeCell ref="B11:B12"/>
    <mergeCell ref="F15:F16"/>
    <mergeCell ref="E15:E16"/>
    <mergeCell ref="B3:I3"/>
    <mergeCell ref="D11:D12"/>
    <mergeCell ref="H11:H12"/>
    <mergeCell ref="M7:M8"/>
    <mergeCell ref="E9:E10"/>
    <mergeCell ref="C6:C8"/>
    <mergeCell ref="I6:R6"/>
    <mergeCell ref="P7:P8"/>
    <mergeCell ref="D6:D8"/>
    <mergeCell ref="I7:K7"/>
    <mergeCell ref="F6:F8"/>
    <mergeCell ref="O7:O8"/>
    <mergeCell ref="F11:F12"/>
    <mergeCell ref="H9:H10"/>
    <mergeCell ref="H6:H8"/>
    <mergeCell ref="T6:T8"/>
    <mergeCell ref="E13:E14"/>
    <mergeCell ref="G13:G14"/>
    <mergeCell ref="R7:R8"/>
    <mergeCell ref="T9:T10"/>
    <mergeCell ref="S13:S14"/>
    <mergeCell ref="T11:T12"/>
    <mergeCell ref="T13:T14"/>
  </mergeCells>
  <hyperlinks>
    <hyperlink ref="A1" location="'MENU'!A1" display="&lt;&lt; MENU" xr:uid="{00000000-0004-0000-0300-000000000000}"/>
  </hyperlinks>
  <pageMargins left="0.35" right="0.24" top="0.74803149606299213" bottom="0.74803149606299213" header="0.31496062992125978" footer="0.31496062992125978"/>
  <pageSetup paperSize="9" scale="49" orientation="landscape" horizontalDpi="4294967293" r:id="rId1"/>
  <ignoredErrors>
    <ignoredError sqref="L9:M16" formulaRange="1"/>
    <ignoredError sqref="N17"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S126"/>
  <sheetViews>
    <sheetView view="pageBreakPreview" topLeftCell="A115" zoomScale="90" zoomScaleNormal="100" zoomScaleSheetLayoutView="90" workbookViewId="0">
      <selection activeCell="J126" sqref="J126"/>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Disini'!G9</f>
        <v>WIM.16.IMI.1-KU.03.01-2439</v>
      </c>
      <c r="H5" s="24"/>
      <c r="I5" s="24"/>
      <c r="J5" s="24"/>
      <c r="K5" s="24"/>
      <c r="L5" s="24"/>
      <c r="M5" s="24"/>
      <c r="N5" s="24"/>
      <c r="O5" s="24"/>
      <c r="Q5" s="104" t="s">
        <v>88</v>
      </c>
    </row>
    <row r="6" spans="1:19" x14ac:dyDescent="0.35">
      <c r="A6" s="24" t="s">
        <v>110</v>
      </c>
      <c r="B6" s="24"/>
      <c r="C6" s="24"/>
      <c r="D6" s="24"/>
      <c r="E6" s="24"/>
      <c r="F6" s="69" t="s">
        <v>105</v>
      </c>
      <c r="G6" s="327">
        <f>'Isi Disini'!H9</f>
        <v>46167</v>
      </c>
      <c r="H6" s="285"/>
      <c r="I6" s="285"/>
      <c r="J6" s="24"/>
      <c r="K6" s="24"/>
      <c r="L6" s="24"/>
      <c r="M6" s="24"/>
      <c r="N6" s="24"/>
      <c r="O6" s="24"/>
    </row>
    <row r="7" spans="1:19" x14ac:dyDescent="0.35">
      <c r="A7" s="24"/>
      <c r="B7" s="24"/>
      <c r="C7" s="24"/>
      <c r="D7" s="24"/>
      <c r="E7" s="24"/>
      <c r="F7" s="24"/>
      <c r="G7" s="24"/>
      <c r="H7" s="24"/>
      <c r="I7" s="24"/>
      <c r="J7" s="24"/>
      <c r="K7" s="24"/>
      <c r="L7" s="24"/>
      <c r="M7" s="24"/>
      <c r="N7" s="24"/>
      <c r="O7" s="24"/>
      <c r="P7" s="106" t="s">
        <v>88</v>
      </c>
    </row>
    <row r="8" spans="1:19" x14ac:dyDescent="0.35">
      <c r="A8" s="26" t="s">
        <v>158</v>
      </c>
      <c r="B8" s="324" t="s">
        <v>159</v>
      </c>
      <c r="C8" s="258"/>
      <c r="D8" s="258"/>
      <c r="E8" s="258"/>
      <c r="F8" s="258"/>
      <c r="G8" s="258"/>
      <c r="H8" s="258"/>
      <c r="I8" s="232"/>
      <c r="J8" s="56"/>
      <c r="K8" s="26" t="s">
        <v>160</v>
      </c>
      <c r="L8" s="324" t="s">
        <v>4</v>
      </c>
      <c r="M8" s="232"/>
      <c r="N8" s="27"/>
      <c r="O8" s="24"/>
      <c r="P8" s="28"/>
      <c r="R8" s="105" t="s">
        <v>88</v>
      </c>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str">
        <f>Nominatif!C9</f>
        <v xml:space="preserve">SYECH MUKHAMAR REZA KHARAMI, S.H. </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66">
        <f>I14+I15</f>
        <v>3032210.333333333</v>
      </c>
      <c r="J13" s="42"/>
      <c r="K13" s="65">
        <f>Nominatif!K9</f>
        <v>3032210.333333333</v>
      </c>
      <c r="L13" s="304"/>
      <c r="M13" s="236"/>
      <c r="N13" s="304" t="s">
        <v>164</v>
      </c>
      <c r="O13" s="236"/>
    </row>
    <row r="14" spans="1:19" ht="15" customHeight="1" x14ac:dyDescent="0.35">
      <c r="A14" s="33"/>
      <c r="B14" s="38"/>
      <c r="C14" s="39" t="str">
        <f>'Isi Disini'!M9</f>
        <v>Batik Air (PNK - CGK)</v>
      </c>
      <c r="D14" s="40"/>
      <c r="E14" s="40"/>
      <c r="F14" s="40"/>
      <c r="G14" s="41"/>
      <c r="H14" s="40"/>
      <c r="I14" s="66">
        <f>'Isi Disini'!N9</f>
        <v>1550263</v>
      </c>
      <c r="J14" s="66"/>
      <c r="K14" s="65"/>
      <c r="L14" s="311" t="s">
        <v>165</v>
      </c>
      <c r="M14" s="236"/>
      <c r="N14" s="24"/>
      <c r="O14" s="24"/>
    </row>
    <row r="15" spans="1:19" ht="15" customHeight="1" x14ac:dyDescent="0.35">
      <c r="A15" s="33"/>
      <c r="B15" s="38"/>
      <c r="C15" s="39" t="str">
        <f>'Isi Disini'!O9</f>
        <v>Citilink (CGK - PNK)</v>
      </c>
      <c r="D15" s="40"/>
      <c r="E15" s="40"/>
      <c r="F15" s="40"/>
      <c r="G15" s="41"/>
      <c r="H15" s="40"/>
      <c r="I15" s="66">
        <f>'Isi Disini'!P9</f>
        <v>1481947.3333333333</v>
      </c>
      <c r="J15" s="66"/>
      <c r="K15" s="65"/>
      <c r="L15" s="311" t="s">
        <v>165</v>
      </c>
      <c r="M15" s="236"/>
      <c r="N15" s="24"/>
      <c r="O15" s="24"/>
    </row>
    <row r="16" spans="1:19" ht="15" customHeight="1" x14ac:dyDescent="0.35">
      <c r="A16" s="33"/>
      <c r="B16" s="38" t="s">
        <v>80</v>
      </c>
      <c r="C16" s="39" t="s">
        <v>56</v>
      </c>
      <c r="D16" s="40"/>
      <c r="E16" s="40"/>
      <c r="F16" s="40"/>
      <c r="G16" s="61">
        <f>'Isi Disini'!J9</f>
        <v>1</v>
      </c>
      <c r="H16" s="67" t="s">
        <v>134</v>
      </c>
      <c r="I16" s="66">
        <f>'Isi Disini'!L9</f>
        <v>530000</v>
      </c>
      <c r="J16" s="66"/>
      <c r="K16" s="65">
        <f>Nominatif!O9</f>
        <v>530000</v>
      </c>
      <c r="L16" s="311" t="s">
        <v>166</v>
      </c>
      <c r="M16" s="236"/>
      <c r="N16" s="24"/>
      <c r="O16" s="24"/>
    </row>
    <row r="17" spans="1:18" ht="15" customHeight="1" x14ac:dyDescent="0.35">
      <c r="A17" s="33"/>
      <c r="B17" s="38" t="s">
        <v>80</v>
      </c>
      <c r="C17" s="39" t="s">
        <v>167</v>
      </c>
      <c r="D17" s="40"/>
      <c r="E17" s="40"/>
      <c r="F17" s="40"/>
      <c r="G17" s="41"/>
      <c r="H17" s="40"/>
      <c r="I17" s="66"/>
      <c r="J17" s="66"/>
      <c r="K17" s="172">
        <f>Nominatif!P9</f>
        <v>1460000</v>
      </c>
      <c r="L17" s="311" t="s">
        <v>165</v>
      </c>
      <c r="M17" s="236"/>
      <c r="N17" s="24"/>
      <c r="O17" s="24"/>
    </row>
    <row r="18" spans="1:18" ht="15" customHeight="1" x14ac:dyDescent="0.35">
      <c r="A18" s="33"/>
      <c r="B18" s="38" t="s">
        <v>80</v>
      </c>
      <c r="C18" s="39" t="s">
        <v>168</v>
      </c>
      <c r="D18" s="40"/>
      <c r="E18" s="40"/>
      <c r="F18" s="40"/>
      <c r="G18" s="41"/>
      <c r="H18" s="40"/>
      <c r="I18" s="66"/>
      <c r="J18" s="66"/>
      <c r="K18" s="65">
        <f>Nominatif!L9+Nominatif!M9</f>
        <v>346200</v>
      </c>
      <c r="L18" s="311" t="s">
        <v>165</v>
      </c>
      <c r="M18" s="236"/>
      <c r="N18" s="24"/>
      <c r="O18" s="24"/>
    </row>
    <row r="19" spans="1:18" ht="15" customHeight="1" x14ac:dyDescent="0.35">
      <c r="A19" s="33"/>
      <c r="B19" s="38" t="s">
        <v>80</v>
      </c>
      <c r="C19" s="54" t="s">
        <v>169</v>
      </c>
      <c r="D19" s="40"/>
      <c r="E19" s="40"/>
      <c r="F19" s="40"/>
      <c r="G19" s="41"/>
      <c r="H19" s="40"/>
      <c r="I19" s="66"/>
      <c r="J19" s="66"/>
      <c r="K19" s="65">
        <f>Nominatif!N9</f>
        <v>0</v>
      </c>
      <c r="L19" s="309" t="s">
        <v>166</v>
      </c>
      <c r="M19" s="237"/>
      <c r="N19" s="24"/>
      <c r="O19" s="24"/>
    </row>
    <row r="20" spans="1:18" ht="15" customHeight="1" thickBot="1" x14ac:dyDescent="0.4">
      <c r="A20" s="313" t="s">
        <v>118</v>
      </c>
      <c r="B20" s="258"/>
      <c r="C20" s="258"/>
      <c r="D20" s="258"/>
      <c r="E20" s="258"/>
      <c r="F20" s="258"/>
      <c r="G20" s="258"/>
      <c r="H20" s="258"/>
      <c r="I20" s="232"/>
      <c r="J20" s="60"/>
      <c r="K20" s="181">
        <f>SUM(K13:K19)</f>
        <v>5368410.333333333</v>
      </c>
      <c r="L20" s="44"/>
      <c r="M20" s="45"/>
    </row>
    <row r="21" spans="1:18" s="178" customFormat="1" ht="19.5" customHeight="1" thickBot="1" x14ac:dyDescent="0.4">
      <c r="A21" s="329" t="s">
        <v>170</v>
      </c>
      <c r="B21" s="276"/>
      <c r="C21" s="276"/>
      <c r="D21" s="276"/>
      <c r="E21" s="276"/>
      <c r="F21" s="276"/>
      <c r="G21" s="276"/>
      <c r="H21" s="276"/>
      <c r="I21" s="276"/>
      <c r="J21" s="276"/>
      <c r="K21" s="276"/>
      <c r="L21" s="276"/>
      <c r="M21" s="330"/>
      <c r="P21" s="179" t="s">
        <v>88</v>
      </c>
      <c r="Q21" s="180" t="s">
        <v>88</v>
      </c>
    </row>
    <row r="22" spans="1:18" x14ac:dyDescent="0.35">
      <c r="A22" s="24"/>
      <c r="B22" s="24"/>
      <c r="C22" s="24"/>
      <c r="D22" s="24"/>
      <c r="E22" s="24"/>
      <c r="F22" s="24"/>
      <c r="G22" s="24"/>
      <c r="H22" s="24"/>
      <c r="I22" s="24"/>
      <c r="J22" s="24"/>
      <c r="K22" s="46"/>
      <c r="L22" s="24"/>
      <c r="M22" s="24"/>
    </row>
    <row r="23" spans="1:18" x14ac:dyDescent="0.35">
      <c r="A23" s="24"/>
      <c r="B23" s="24"/>
      <c r="C23" s="24"/>
      <c r="D23" s="24"/>
      <c r="E23" s="24"/>
      <c r="F23" s="24"/>
      <c r="G23" s="24"/>
      <c r="H23" s="24"/>
      <c r="I23" s="24"/>
      <c r="J23" s="24" t="str">
        <f>Nominatif!Q19</f>
        <v>Pontianak,</v>
      </c>
      <c r="K23" s="24"/>
      <c r="L23" s="24" t="s">
        <v>88</v>
      </c>
      <c r="M23" s="24"/>
    </row>
    <row r="24" spans="1:18" x14ac:dyDescent="0.35">
      <c r="A24" s="24"/>
      <c r="B24" s="24" t="s">
        <v>171</v>
      </c>
      <c r="C24" s="24"/>
      <c r="D24" s="24"/>
      <c r="E24" s="24"/>
      <c r="F24" s="24"/>
      <c r="G24" s="24"/>
      <c r="H24" s="24"/>
      <c r="I24" s="24"/>
      <c r="J24" s="24" t="s">
        <v>172</v>
      </c>
      <c r="K24" s="24"/>
      <c r="L24" s="24"/>
      <c r="M24" s="24"/>
    </row>
    <row r="25" spans="1:18" x14ac:dyDescent="0.35">
      <c r="A25" s="24"/>
      <c r="B25" s="320">
        <f>K20</f>
        <v>5368410.333333333</v>
      </c>
      <c r="C25" s="320"/>
      <c r="D25" s="320"/>
      <c r="E25" s="320"/>
      <c r="F25" s="320"/>
      <c r="G25" s="47"/>
      <c r="H25" s="47"/>
      <c r="I25" s="46"/>
      <c r="J25" s="320">
        <f>K20</f>
        <v>5368410.333333333</v>
      </c>
      <c r="K25" s="320"/>
      <c r="L25" s="24"/>
      <c r="M25" s="24"/>
    </row>
    <row r="26" spans="1:18" x14ac:dyDescent="0.35">
      <c r="A26" s="24"/>
      <c r="B26" s="24"/>
      <c r="C26" s="24"/>
      <c r="D26" s="24"/>
      <c r="E26" s="24"/>
      <c r="F26" s="24"/>
      <c r="G26" s="24"/>
      <c r="H26" s="24"/>
      <c r="I26" s="24"/>
      <c r="J26" s="24"/>
      <c r="K26" s="24"/>
      <c r="L26" s="24"/>
      <c r="M26" s="24"/>
    </row>
    <row r="27" spans="1:18" x14ac:dyDescent="0.35">
      <c r="A27" s="24"/>
      <c r="B27" s="319" t="s">
        <v>89</v>
      </c>
      <c r="C27" s="285"/>
      <c r="D27" s="285"/>
      <c r="E27" s="285"/>
      <c r="F27" s="285"/>
      <c r="G27" s="285"/>
      <c r="H27" s="285"/>
      <c r="I27" s="24"/>
      <c r="J27" s="319" t="s">
        <v>173</v>
      </c>
      <c r="K27" s="285"/>
      <c r="L27" s="285"/>
      <c r="M27" s="285"/>
      <c r="R27" s="101" t="s">
        <v>88</v>
      </c>
    </row>
    <row r="28" spans="1:18" x14ac:dyDescent="0.35">
      <c r="A28" s="24"/>
      <c r="B28" s="48"/>
      <c r="C28" s="48"/>
      <c r="D28" s="48"/>
      <c r="E28" s="48"/>
      <c r="F28" s="48"/>
      <c r="G28" s="48"/>
      <c r="H28" s="48"/>
      <c r="I28" s="24"/>
      <c r="J28" s="24"/>
      <c r="K28" s="24"/>
      <c r="L28" s="24"/>
      <c r="M28" s="24"/>
    </row>
    <row r="29" spans="1:18" x14ac:dyDescent="0.35">
      <c r="A29" s="24"/>
      <c r="B29" s="48"/>
      <c r="C29" s="48"/>
      <c r="D29" s="48"/>
      <c r="E29" s="48"/>
      <c r="F29" s="48"/>
      <c r="G29" s="48"/>
      <c r="H29" s="48"/>
      <c r="I29" s="24"/>
      <c r="J29" s="24"/>
      <c r="K29" s="24"/>
      <c r="L29" s="24"/>
      <c r="M29" s="24"/>
    </row>
    <row r="30" spans="1:18" x14ac:dyDescent="0.35">
      <c r="A30" s="24"/>
      <c r="B30" s="48"/>
      <c r="C30" s="48"/>
      <c r="D30" s="48"/>
      <c r="E30" s="48"/>
      <c r="F30" s="48"/>
      <c r="G30" s="48"/>
      <c r="H30" s="48"/>
      <c r="I30" s="24"/>
      <c r="J30" s="24"/>
      <c r="K30" s="24"/>
      <c r="L30" s="24"/>
      <c r="M30" s="24"/>
    </row>
    <row r="31" spans="1:18" x14ac:dyDescent="0.35">
      <c r="A31" s="24"/>
      <c r="B31" s="25" t="str">
        <f>'Isi Disini'!W44</f>
        <v xml:space="preserve">MUHAMMAD REZA, S.H. </v>
      </c>
      <c r="I31" s="24"/>
      <c r="J31" s="25" t="str">
        <f>C10</f>
        <v xml:space="preserve">SYECH MUKHAMAR REZA KHARAMI, S.H. </v>
      </c>
      <c r="K31" s="70"/>
      <c r="L31" s="70"/>
      <c r="M31" s="70"/>
    </row>
    <row r="32" spans="1:18" x14ac:dyDescent="0.35">
      <c r="A32" s="24"/>
      <c r="B32" s="25" t="str">
        <f>'Isi Disini'!W45</f>
        <v>NIP. 19840124 200212 1 002</v>
      </c>
      <c r="C32" s="71"/>
      <c r="I32" s="24"/>
      <c r="J32" s="25" t="str">
        <f>"NIP. "&amp;_xlfn.XLOOKUP('Isi Disini'!W44,'nama pegawai'!B:B,'nama pegawai'!C:C,"")</f>
        <v>NIP. 19840124 200212 1 002</v>
      </c>
      <c r="K32" s="25"/>
    </row>
    <row r="33" spans="1:17" x14ac:dyDescent="0.35">
      <c r="A33" s="24"/>
      <c r="B33" s="24"/>
      <c r="C33" s="24"/>
      <c r="D33" s="24"/>
      <c r="E33" s="24"/>
      <c r="F33" s="24"/>
      <c r="G33" s="24"/>
      <c r="H33" s="24"/>
      <c r="I33" s="24"/>
      <c r="J33" s="24"/>
      <c r="K33" s="24"/>
      <c r="L33" s="24"/>
      <c r="M33" s="24"/>
    </row>
    <row r="34" spans="1:17" x14ac:dyDescent="0.35">
      <c r="A34" s="49"/>
      <c r="B34" s="49"/>
      <c r="C34" s="49"/>
      <c r="D34" s="49"/>
      <c r="E34" s="49"/>
      <c r="F34" s="49"/>
      <c r="G34" s="49"/>
      <c r="H34" s="49"/>
      <c r="I34" s="49"/>
      <c r="J34" s="49"/>
      <c r="K34" s="49"/>
      <c r="L34" s="49"/>
      <c r="M34" s="49"/>
    </row>
    <row r="35" spans="1:17" x14ac:dyDescent="0.35">
      <c r="A35" s="281" t="s">
        <v>176</v>
      </c>
      <c r="B35" s="285"/>
      <c r="C35" s="285"/>
      <c r="D35" s="285"/>
      <c r="E35" s="285"/>
      <c r="F35" s="285"/>
      <c r="G35" s="285"/>
      <c r="H35" s="285"/>
      <c r="I35" s="285"/>
      <c r="J35" s="285"/>
      <c r="K35" s="285"/>
      <c r="L35" s="285"/>
      <c r="M35" s="285"/>
    </row>
    <row r="36" spans="1:17" x14ac:dyDescent="0.35">
      <c r="A36" s="50"/>
      <c r="B36" s="50"/>
      <c r="C36" s="50"/>
      <c r="D36" s="50"/>
      <c r="E36" s="50"/>
      <c r="F36" s="50"/>
      <c r="G36" s="50"/>
      <c r="H36" s="50"/>
      <c r="I36" s="50"/>
      <c r="J36" s="50"/>
      <c r="K36" s="50"/>
      <c r="L36" s="50"/>
      <c r="M36" s="50"/>
    </row>
    <row r="37" spans="1:17" x14ac:dyDescent="0.35">
      <c r="A37" s="24" t="s">
        <v>177</v>
      </c>
      <c r="B37" s="24"/>
      <c r="C37" s="24"/>
      <c r="D37" s="24"/>
      <c r="E37" s="24"/>
      <c r="F37" s="24"/>
      <c r="G37" s="51" t="s">
        <v>105</v>
      </c>
      <c r="H37" s="321">
        <f>K20</f>
        <v>5368410.333333333</v>
      </c>
      <c r="I37" s="285"/>
      <c r="J37" s="47"/>
      <c r="K37" s="24"/>
      <c r="L37" s="24"/>
      <c r="M37" s="24"/>
    </row>
    <row r="38" spans="1:17" x14ac:dyDescent="0.35">
      <c r="A38" s="24" t="s">
        <v>178</v>
      </c>
      <c r="B38" s="24"/>
      <c r="C38" s="24"/>
      <c r="D38" s="24"/>
      <c r="E38" s="24"/>
      <c r="F38" s="24"/>
      <c r="G38" s="51" t="s">
        <v>105</v>
      </c>
      <c r="H38" s="332">
        <f>B25</f>
        <v>5368410.333333333</v>
      </c>
      <c r="I38" s="285"/>
      <c r="J38" s="52"/>
      <c r="K38" s="24"/>
      <c r="L38" s="24"/>
      <c r="M38" s="24"/>
      <c r="N38" s="68" t="s">
        <v>88</v>
      </c>
    </row>
    <row r="39" spans="1:17" x14ac:dyDescent="0.35">
      <c r="A39" s="24" t="s">
        <v>179</v>
      </c>
      <c r="B39" s="24"/>
      <c r="C39" s="24"/>
      <c r="D39" s="24"/>
      <c r="E39" s="24"/>
      <c r="F39" s="24"/>
      <c r="G39" s="51" t="s">
        <v>105</v>
      </c>
      <c r="H39" s="306">
        <f>H37-H38</f>
        <v>0</v>
      </c>
      <c r="I39" s="285"/>
      <c r="J39" s="53"/>
      <c r="K39" s="24"/>
      <c r="L39" s="24"/>
      <c r="M39" s="24"/>
    </row>
    <row r="40" spans="1:17" x14ac:dyDescent="0.35">
      <c r="A40" s="24"/>
      <c r="B40" s="24"/>
      <c r="C40" s="24"/>
      <c r="D40" s="24"/>
      <c r="E40" s="24"/>
      <c r="F40" s="24"/>
      <c r="G40" s="24"/>
      <c r="H40" s="24"/>
      <c r="I40" s="24"/>
      <c r="J40" s="24"/>
      <c r="K40" s="24"/>
      <c r="L40" s="24"/>
      <c r="M40" s="24"/>
    </row>
    <row r="41" spans="1:17" x14ac:dyDescent="0.35">
      <c r="A41" s="24"/>
      <c r="B41" s="24"/>
      <c r="C41" s="24"/>
      <c r="D41" s="24"/>
      <c r="E41" s="24"/>
      <c r="F41" s="24"/>
      <c r="G41" s="24"/>
      <c r="H41" s="24"/>
      <c r="I41" s="24"/>
      <c r="J41" s="24"/>
      <c r="K41" s="24"/>
      <c r="L41" s="24"/>
      <c r="M41" s="24"/>
    </row>
    <row r="42" spans="1:17" x14ac:dyDescent="0.35">
      <c r="A42" s="24"/>
      <c r="B42" s="24"/>
      <c r="C42" s="24"/>
      <c r="D42" s="24"/>
      <c r="E42" s="24"/>
      <c r="F42" s="24"/>
      <c r="G42" s="24"/>
      <c r="H42" s="24"/>
      <c r="I42" s="25"/>
      <c r="J42" s="25" t="s">
        <v>180</v>
      </c>
      <c r="K42" s="25"/>
      <c r="L42" s="25"/>
      <c r="M42" s="25"/>
      <c r="Q42" s="109" t="s">
        <v>88</v>
      </c>
    </row>
    <row r="43" spans="1:17" x14ac:dyDescent="0.35">
      <c r="A43" s="24"/>
      <c r="B43" s="24"/>
      <c r="C43" s="24"/>
      <c r="D43" s="24"/>
      <c r="E43" s="24"/>
      <c r="F43" s="24"/>
      <c r="G43" s="24"/>
      <c r="H43" s="24"/>
      <c r="I43" s="24"/>
      <c r="J43" s="24"/>
      <c r="K43" s="24"/>
      <c r="L43" s="24"/>
      <c r="M43" s="24"/>
    </row>
    <row r="44" spans="1:17" x14ac:dyDescent="0.35">
      <c r="A44" s="24"/>
      <c r="B44" s="24"/>
      <c r="C44" s="24"/>
      <c r="D44" s="24"/>
      <c r="E44" s="24"/>
      <c r="F44" s="24"/>
      <c r="G44" s="24"/>
      <c r="H44" s="24"/>
      <c r="I44" s="24"/>
      <c r="J44" s="24"/>
      <c r="K44" s="24"/>
      <c r="L44" s="24"/>
      <c r="M44" s="24"/>
    </row>
    <row r="45" spans="1:17" x14ac:dyDescent="0.35">
      <c r="A45" s="24"/>
      <c r="B45" s="24"/>
      <c r="C45" s="24"/>
      <c r="D45" s="24"/>
      <c r="E45" s="24"/>
      <c r="F45" s="24"/>
      <c r="G45" s="24"/>
      <c r="H45" s="24"/>
      <c r="I45" s="24"/>
      <c r="J45" s="24"/>
      <c r="K45" s="24"/>
      <c r="L45" s="24"/>
      <c r="M45" s="24"/>
    </row>
    <row r="46" spans="1:17" x14ac:dyDescent="0.35">
      <c r="A46" s="24"/>
      <c r="B46" s="24"/>
      <c r="C46" s="24"/>
      <c r="D46" s="24"/>
      <c r="E46" s="24"/>
      <c r="F46" s="24"/>
      <c r="G46" s="24"/>
      <c r="H46" s="24"/>
      <c r="I46" s="24"/>
      <c r="J46" s="24"/>
      <c r="K46" s="24"/>
      <c r="L46" s="24"/>
      <c r="M46" s="24"/>
    </row>
    <row r="47" spans="1:17" x14ac:dyDescent="0.35">
      <c r="A47" s="24"/>
      <c r="B47" s="24"/>
      <c r="C47" s="24"/>
      <c r="D47" s="24"/>
      <c r="E47" s="24"/>
      <c r="F47" s="24"/>
      <c r="G47" s="24"/>
      <c r="H47" s="24"/>
      <c r="I47" s="25"/>
      <c r="J47" s="110" t="str">
        <f>'Isi Disini'!W44</f>
        <v xml:space="preserve">MUHAMMAD REZA, S.H. </v>
      </c>
      <c r="K47" s="25"/>
      <c r="L47" s="25"/>
      <c r="M47" s="25"/>
    </row>
    <row r="48" spans="1:17" x14ac:dyDescent="0.35">
      <c r="A48" s="24"/>
      <c r="B48" s="24"/>
      <c r="C48" s="24"/>
      <c r="D48" s="24"/>
      <c r="E48" s="24"/>
      <c r="F48" s="24"/>
      <c r="G48" s="24"/>
      <c r="H48" s="24"/>
      <c r="I48" s="25"/>
      <c r="J48" s="110" t="str">
        <f>'Isi Disini'!W45</f>
        <v>NIP. 19840124 200212 1 002</v>
      </c>
      <c r="K48" s="71"/>
      <c r="L48" s="25"/>
      <c r="M48" s="25"/>
    </row>
    <row r="51" spans="1:13" s="74" customFormat="1" ht="17.399999999999999" customHeight="1" x14ac:dyDescent="0.4">
      <c r="A51" s="289" t="s">
        <v>98</v>
      </c>
      <c r="B51" s="315"/>
      <c r="C51" s="315"/>
      <c r="D51" s="315"/>
      <c r="E51" s="315"/>
      <c r="F51" s="315"/>
      <c r="G51" s="315"/>
      <c r="H51" s="315"/>
      <c r="I51" s="315"/>
      <c r="J51" s="315"/>
      <c r="K51" s="315"/>
      <c r="L51" s="315"/>
      <c r="M51" s="315"/>
    </row>
    <row r="52" spans="1:13" s="74" customFormat="1" ht="15.65" customHeight="1" x14ac:dyDescent="0.35"/>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str">
        <f>C10</f>
        <v xml:space="preserve">SYECH MUKHAMAR REZA KHARAMI, S.H. </v>
      </c>
    </row>
    <row r="56" spans="1:13" s="75" customFormat="1" ht="15" customHeight="1" x14ac:dyDescent="0.35">
      <c r="C56" s="75" t="s">
        <v>106</v>
      </c>
      <c r="E56" s="76" t="s">
        <v>105</v>
      </c>
      <c r="F56" s="75">
        <f>K32</f>
        <v>0</v>
      </c>
    </row>
    <row r="57" spans="1:13" s="75" customFormat="1" ht="15" customHeight="1" x14ac:dyDescent="0.35">
      <c r="C57" s="75" t="s">
        <v>47</v>
      </c>
      <c r="E57" s="76" t="s">
        <v>105</v>
      </c>
      <c r="F57" s="75" t="str">
        <f>'Isi Disini'!E9</f>
        <v>KASI REG, ADMINISTRASI &amp; PELAPORAN</v>
      </c>
    </row>
    <row r="58" spans="1:13" s="75" customFormat="1" ht="15" customHeight="1" x14ac:dyDescent="0.35"/>
    <row r="59" spans="1:13" s="75" customFormat="1" ht="15" customHeight="1" x14ac:dyDescent="0.35">
      <c r="C59" s="75" t="s">
        <v>183</v>
      </c>
      <c r="J59" s="75" t="str">
        <f>G5</f>
        <v>WIM.16.IMI.1-KU.03.01-2439</v>
      </c>
      <c r="M59" s="75" t="s">
        <v>184</v>
      </c>
    </row>
    <row r="60" spans="1:13" s="75" customFormat="1" ht="15" customHeight="1" x14ac:dyDescent="0.35">
      <c r="C60" s="331">
        <f>G6</f>
        <v>46167</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2" t="s">
        <v>116</v>
      </c>
      <c r="E64" s="234"/>
      <c r="F64" s="316" t="s">
        <v>187</v>
      </c>
      <c r="G64" s="262"/>
      <c r="H64" s="262"/>
      <c r="I64" s="262"/>
      <c r="J64" s="262"/>
      <c r="K64" s="234"/>
      <c r="L64" s="317" t="s">
        <v>63</v>
      </c>
      <c r="M64" s="234"/>
    </row>
    <row r="65" spans="3:13" s="75" customFormat="1" ht="15" customHeight="1" x14ac:dyDescent="0.35">
      <c r="D65" s="235"/>
      <c r="E65" s="236"/>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Disini'!J9</f>
        <v>1</v>
      </c>
      <c r="G67" s="83" t="e">
        <f ca="1">PROPER([1]!terbilang(F67)) &amp; " hari x"</f>
        <v>#NAME?</v>
      </c>
      <c r="I67" s="84">
        <f>'Isi Disini'!L9</f>
        <v>530000</v>
      </c>
      <c r="K67" s="85"/>
      <c r="L67" s="310">
        <f>F67*I67</f>
        <v>530000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Disini'!J9</f>
        <v>1</v>
      </c>
      <c r="G70" s="83" t="e">
        <f ca="1">PROPER([1]!terbilang(F67)) &amp; " hari x"</f>
        <v>#NAME?</v>
      </c>
      <c r="I70" s="84">
        <f>'Isi Disini'!T9</f>
        <v>0</v>
      </c>
      <c r="K70" s="85"/>
      <c r="L70" s="310">
        <f>F70*I70</f>
        <v>0</v>
      </c>
      <c r="M70" s="236"/>
    </row>
    <row r="71" spans="3:13" s="75" customFormat="1" ht="15" hidden="1" customHeight="1" x14ac:dyDescent="0.35">
      <c r="D71" s="308">
        <v>2</v>
      </c>
      <c r="E71" s="236"/>
      <c r="F71" s="82" t="s">
        <v>190</v>
      </c>
      <c r="G71" s="83"/>
      <c r="I71" s="84"/>
      <c r="K71" s="85"/>
      <c r="L71" s="102"/>
      <c r="M71" s="103"/>
    </row>
    <row r="72" spans="3:13" s="75" customFormat="1" ht="15" hidden="1" customHeight="1" x14ac:dyDescent="0.35">
      <c r="D72" s="86"/>
      <c r="E72" s="87"/>
      <c r="F72" s="82">
        <v>2</v>
      </c>
      <c r="G72" s="83" t="e">
        <f t="array" aca="1" ref="G72" ca="1">PROPER([2]!terbilang(F72)) &amp; " hari x"</f>
        <v>#NAME?</v>
      </c>
      <c r="I72" s="84">
        <v>0</v>
      </c>
      <c r="K72" s="85"/>
      <c r="L72" s="310">
        <f>30/100*F72*I72</f>
        <v>0</v>
      </c>
      <c r="M72" s="236"/>
    </row>
    <row r="73" spans="3:13" s="75" customFormat="1" ht="15.65" customHeight="1" x14ac:dyDescent="0.35">
      <c r="D73" s="86"/>
      <c r="E73" s="87"/>
      <c r="F73" s="90" t="s">
        <v>118</v>
      </c>
      <c r="G73" s="91"/>
      <c r="H73" s="91"/>
      <c r="I73" s="91"/>
      <c r="J73" s="91"/>
      <c r="K73" s="91"/>
      <c r="L73" s="307">
        <f>L67+L70</f>
        <v>530000</v>
      </c>
      <c r="M73" s="232"/>
    </row>
    <row r="74" spans="3:13" s="75" customFormat="1" ht="15" customHeight="1" x14ac:dyDescent="0.35"/>
    <row r="75" spans="3:13" s="75" customFormat="1" ht="57" customHeight="1" x14ac:dyDescent="0.35">
      <c r="C75" s="92" t="s">
        <v>140</v>
      </c>
      <c r="D75" s="302" t="s">
        <v>191</v>
      </c>
      <c r="E75" s="282"/>
      <c r="F75" s="282"/>
      <c r="G75" s="282"/>
      <c r="H75" s="282"/>
      <c r="I75" s="282"/>
      <c r="J75" s="282"/>
      <c r="K75" s="282"/>
      <c r="L75" s="282"/>
      <c r="M75" s="282"/>
    </row>
    <row r="76" spans="3:13" s="75" customFormat="1" ht="15" customHeight="1" x14ac:dyDescent="0.35">
      <c r="C76" s="75" t="s">
        <v>145</v>
      </c>
    </row>
    <row r="77" spans="3:13" s="75" customFormat="1" ht="15" customHeight="1" x14ac:dyDescent="0.35"/>
    <row r="78" spans="3:13" s="75" customFormat="1" ht="15" customHeight="1" x14ac:dyDescent="0.35"/>
    <row r="79" spans="3:13" s="75" customFormat="1" ht="15" customHeight="1" x14ac:dyDescent="0.35">
      <c r="J79" s="75" t="str">
        <f>J23</f>
        <v>Pontianak,</v>
      </c>
    </row>
    <row r="80" spans="3:13" s="75" customFormat="1" ht="15.65" customHeight="1" x14ac:dyDescent="0.35">
      <c r="D80" s="93" t="s">
        <v>180</v>
      </c>
      <c r="J80" s="93" t="s">
        <v>192</v>
      </c>
    </row>
    <row r="81" spans="1:13" s="75" customFormat="1" ht="15" customHeight="1" x14ac:dyDescent="0.35"/>
    <row r="82" spans="1:13" s="75" customFormat="1" ht="15" customHeight="1" x14ac:dyDescent="0.35"/>
    <row r="83" spans="1:13" s="75" customFormat="1" ht="15" customHeight="1" x14ac:dyDescent="0.35"/>
    <row r="84" spans="1:13" s="75" customFormat="1" ht="15" customHeight="1" x14ac:dyDescent="0.35"/>
    <row r="85" spans="1:13" s="75" customFormat="1" ht="15.65" customHeight="1" x14ac:dyDescent="0.35">
      <c r="D85" s="110" t="s">
        <v>149</v>
      </c>
      <c r="E85" s="25"/>
      <c r="F85" s="25"/>
      <c r="J85" s="25" t="str">
        <f>J31</f>
        <v xml:space="preserve">SYECH MUKHAMAR REZA KHARAMI, S.H. </v>
      </c>
    </row>
    <row r="86" spans="1:13" s="75" customFormat="1" ht="15.65" customHeight="1" x14ac:dyDescent="0.35">
      <c r="D86" s="110" t="s">
        <v>150</v>
      </c>
      <c r="E86" s="71"/>
      <c r="F86" s="25"/>
      <c r="J86" s="93"/>
      <c r="K86" s="93"/>
    </row>
    <row r="87" spans="1:13" s="75" customFormat="1" ht="15" customHeight="1" x14ac:dyDescent="0.35"/>
    <row r="88" spans="1:13" s="24" customFormat="1" ht="13.75" customHeight="1" x14ac:dyDescent="0.3"/>
    <row r="89" spans="1:13" s="24" customFormat="1" ht="15" customHeight="1" x14ac:dyDescent="0.35">
      <c r="D89" s="269" t="s">
        <v>92</v>
      </c>
      <c r="E89" s="270"/>
      <c r="F89" s="270"/>
      <c r="G89" s="270"/>
      <c r="H89" s="270"/>
      <c r="I89" s="270"/>
      <c r="J89" s="270"/>
      <c r="K89" s="270"/>
      <c r="L89" s="270"/>
      <c r="M89" s="270"/>
    </row>
    <row r="90" spans="1:13" s="75" customFormat="1" ht="15" customHeight="1" x14ac:dyDescent="0.35">
      <c r="D90" s="269" t="s">
        <v>93</v>
      </c>
      <c r="E90" s="282"/>
      <c r="F90" s="282"/>
      <c r="G90" s="282"/>
      <c r="H90" s="282"/>
      <c r="I90" s="282"/>
      <c r="J90" s="282"/>
      <c r="K90" s="282"/>
      <c r="L90" s="282"/>
      <c r="M90" s="282"/>
    </row>
    <row r="91" spans="1:13" s="75" customFormat="1" ht="15" customHeight="1" x14ac:dyDescent="0.35">
      <c r="D91" s="269" t="s">
        <v>94</v>
      </c>
      <c r="E91" s="282"/>
      <c r="F91" s="282"/>
      <c r="G91" s="282"/>
      <c r="H91" s="282"/>
      <c r="I91" s="282"/>
      <c r="J91" s="282"/>
      <c r="K91" s="282"/>
      <c r="L91" s="282"/>
      <c r="M91" s="282"/>
    </row>
    <row r="92" spans="1:13" s="75" customFormat="1" ht="17.399999999999999" customHeight="1" x14ac:dyDescent="0.4">
      <c r="D92" s="289" t="s">
        <v>95</v>
      </c>
      <c r="E92" s="282"/>
      <c r="F92" s="282"/>
      <c r="G92" s="282"/>
      <c r="H92" s="282"/>
      <c r="I92" s="282"/>
      <c r="J92" s="282"/>
      <c r="K92" s="282"/>
      <c r="L92" s="282"/>
      <c r="M92" s="282"/>
    </row>
    <row r="93" spans="1:13" s="75" customFormat="1" ht="15" customHeight="1" x14ac:dyDescent="0.35">
      <c r="D93" s="281" t="s">
        <v>96</v>
      </c>
      <c r="E93" s="282"/>
      <c r="F93" s="282"/>
      <c r="G93" s="282"/>
      <c r="H93" s="282"/>
      <c r="I93" s="282"/>
      <c r="J93" s="282"/>
      <c r="K93" s="282"/>
      <c r="L93" s="282"/>
      <c r="M93" s="282"/>
    </row>
    <row r="94" spans="1:13" s="75" customFormat="1" ht="15" customHeight="1" x14ac:dyDescent="0.35">
      <c r="D94" s="281" t="s">
        <v>97</v>
      </c>
      <c r="E94" s="282"/>
      <c r="F94" s="282"/>
      <c r="G94" s="282"/>
      <c r="H94" s="282"/>
      <c r="I94" s="282"/>
      <c r="J94" s="282"/>
      <c r="K94" s="282"/>
      <c r="L94" s="282"/>
      <c r="M94" s="282"/>
    </row>
    <row r="95" spans="1:13" ht="15.65" customHeight="1" x14ac:dyDescent="0.35">
      <c r="A95" s="284"/>
      <c r="B95" s="285"/>
      <c r="C95" s="285"/>
      <c r="D95" s="285"/>
      <c r="E95" s="285"/>
      <c r="F95" s="285"/>
      <c r="G95" s="285"/>
      <c r="H95" s="285"/>
      <c r="I95" s="285"/>
      <c r="J95" s="285"/>
      <c r="K95" s="285"/>
      <c r="L95" s="285"/>
      <c r="M95" s="285"/>
    </row>
    <row r="98" spans="1:16" ht="17.399999999999999" customHeight="1" x14ac:dyDescent="0.4">
      <c r="A98" s="289" t="s">
        <v>193</v>
      </c>
      <c r="B98" s="285"/>
      <c r="C98" s="285"/>
      <c r="D98" s="285"/>
      <c r="E98" s="285"/>
      <c r="F98" s="285"/>
      <c r="G98" s="285"/>
      <c r="H98" s="285"/>
      <c r="I98" s="285"/>
      <c r="J98" s="285"/>
      <c r="K98" s="285"/>
      <c r="L98" s="285"/>
      <c r="M98" s="285"/>
      <c r="P98" s="95" t="s">
        <v>88</v>
      </c>
    </row>
    <row r="99" spans="1:16" x14ac:dyDescent="0.35">
      <c r="N99" s="108" t="s">
        <v>88</v>
      </c>
    </row>
    <row r="100" spans="1:16" s="75" customFormat="1" ht="15" customHeight="1" x14ac:dyDescent="0.35">
      <c r="B100" s="75" t="s">
        <v>182</v>
      </c>
    </row>
    <row r="101" spans="1:16" s="75" customFormat="1" ht="15" customHeight="1" x14ac:dyDescent="0.35"/>
    <row r="102" spans="1:16" s="75" customFormat="1" ht="15" customHeight="1" x14ac:dyDescent="0.35">
      <c r="B102" s="75" t="s">
        <v>45</v>
      </c>
      <c r="D102" s="76" t="s">
        <v>105</v>
      </c>
      <c r="E102" s="75" t="str">
        <f>F55</f>
        <v xml:space="preserve">SYECH MUKHAMAR REZA KHARAMI, S.H. </v>
      </c>
    </row>
    <row r="103" spans="1:16" s="75" customFormat="1" ht="15" customHeight="1" x14ac:dyDescent="0.35">
      <c r="B103" s="75" t="s">
        <v>106</v>
      </c>
      <c r="D103" s="76" t="s">
        <v>105</v>
      </c>
      <c r="E103" s="75">
        <f>F56</f>
        <v>0</v>
      </c>
    </row>
    <row r="104" spans="1:16" s="75" customFormat="1" ht="15" customHeight="1" x14ac:dyDescent="0.35">
      <c r="B104" s="75" t="s">
        <v>47</v>
      </c>
      <c r="D104" s="76" t="s">
        <v>105</v>
      </c>
      <c r="E104" s="75" t="str">
        <f>F57</f>
        <v>KASI REG, ADMINISTRASI &amp; PELAPORAN</v>
      </c>
    </row>
    <row r="105" spans="1:16" s="75" customFormat="1" ht="15" customHeight="1" x14ac:dyDescent="0.35"/>
    <row r="106" spans="1:16" s="75" customFormat="1" ht="15" customHeight="1" x14ac:dyDescent="0.35">
      <c r="B106" s="75" t="s">
        <v>194</v>
      </c>
    </row>
    <row r="107" spans="1:16" s="97" customFormat="1" ht="62.25" customHeight="1" x14ac:dyDescent="0.35">
      <c r="B107" s="96" t="s">
        <v>114</v>
      </c>
      <c r="C107"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7" s="303"/>
      <c r="E107" s="303"/>
      <c r="F107" s="303"/>
      <c r="G107" s="303"/>
      <c r="H107" s="303"/>
      <c r="I107" s="303"/>
      <c r="J107" s="303"/>
      <c r="K107" s="303"/>
      <c r="L107" s="303"/>
      <c r="M107" s="303"/>
    </row>
    <row r="108" spans="1:16" s="97" customFormat="1" ht="35.25" customHeight="1" x14ac:dyDescent="0.35">
      <c r="B108" s="96" t="s">
        <v>140</v>
      </c>
      <c r="C108" s="302" t="s">
        <v>195</v>
      </c>
      <c r="D108" s="303"/>
      <c r="E108" s="303"/>
      <c r="F108" s="303"/>
      <c r="G108" s="303"/>
      <c r="H108" s="303"/>
      <c r="I108" s="303"/>
      <c r="J108" s="303"/>
      <c r="K108" s="303"/>
      <c r="L108" s="303"/>
      <c r="M108" s="303"/>
    </row>
    <row r="109" spans="1:16" s="97" customFormat="1" ht="23.25" hidden="1" customHeight="1" x14ac:dyDescent="0.35">
      <c r="B109" s="96" t="s">
        <v>196</v>
      </c>
      <c r="C109" s="302" t="s">
        <v>197</v>
      </c>
      <c r="D109" s="303"/>
      <c r="E109" s="303"/>
      <c r="F109" s="303"/>
      <c r="G109" s="303"/>
      <c r="H109" s="303"/>
      <c r="I109" s="303"/>
      <c r="J109" s="303"/>
      <c r="K109" s="303"/>
      <c r="L109" s="303"/>
      <c r="M109" s="303"/>
    </row>
    <row r="110" spans="1:16" s="97" customFormat="1" ht="15" hidden="1" customHeight="1" x14ac:dyDescent="0.35">
      <c r="C110" s="97" t="s">
        <v>198</v>
      </c>
      <c r="D110" s="97" t="s">
        <v>199</v>
      </c>
    </row>
    <row r="111" spans="1:16" s="97" customFormat="1" ht="18" hidden="1" customHeight="1" x14ac:dyDescent="0.35">
      <c r="C111" s="97" t="s">
        <v>200</v>
      </c>
      <c r="D111" s="97" t="s">
        <v>201</v>
      </c>
    </row>
    <row r="112" spans="1:16" s="97" customFormat="1" ht="30.75" customHeight="1" x14ac:dyDescent="0.35">
      <c r="B112" s="96" t="s">
        <v>196</v>
      </c>
      <c r="C112" s="302" t="s">
        <v>202</v>
      </c>
      <c r="D112" s="303"/>
      <c r="E112" s="303"/>
      <c r="F112" s="303"/>
      <c r="G112" s="303"/>
      <c r="H112" s="303"/>
      <c r="I112" s="303"/>
      <c r="J112" s="303"/>
      <c r="K112" s="303"/>
      <c r="L112" s="303"/>
      <c r="M112" s="303"/>
    </row>
    <row r="113" spans="2:13" s="97" customFormat="1" ht="15" customHeight="1" x14ac:dyDescent="0.35">
      <c r="C113" s="97" t="s">
        <v>198</v>
      </c>
      <c r="D113" s="97" t="s">
        <v>203</v>
      </c>
    </row>
    <row r="114" spans="2:13" s="97" customFormat="1" ht="15" customHeight="1" x14ac:dyDescent="0.35">
      <c r="C114" s="97" t="s">
        <v>200</v>
      </c>
      <c r="D114" s="97" t="s">
        <v>204</v>
      </c>
    </row>
    <row r="115" spans="2:13" s="97" customFormat="1" ht="20.25" customHeight="1" x14ac:dyDescent="0.35">
      <c r="C115" s="97" t="s">
        <v>205</v>
      </c>
      <c r="D115" s="97" t="s">
        <v>206</v>
      </c>
    </row>
    <row r="116" spans="2:13" s="97" customFormat="1" ht="50.25" customHeight="1" x14ac:dyDescent="0.35">
      <c r="B116" s="96" t="s">
        <v>207</v>
      </c>
      <c r="C116" s="302" t="s">
        <v>208</v>
      </c>
      <c r="D116" s="303"/>
      <c r="E116" s="303"/>
      <c r="F116" s="303"/>
      <c r="G116" s="303"/>
      <c r="H116" s="303"/>
      <c r="I116" s="303"/>
      <c r="J116" s="303"/>
      <c r="K116" s="303"/>
      <c r="L116" s="303"/>
      <c r="M116" s="303"/>
    </row>
    <row r="117" spans="2:13" s="75" customFormat="1" ht="15" customHeight="1" x14ac:dyDescent="0.35"/>
    <row r="118" spans="2:13" s="75" customFormat="1" ht="15" customHeight="1" x14ac:dyDescent="0.35"/>
    <row r="119" spans="2:13" s="75" customFormat="1" ht="15" customHeight="1" x14ac:dyDescent="0.35">
      <c r="J119" s="75" t="str">
        <f>J23</f>
        <v>Pontianak,</v>
      </c>
    </row>
    <row r="120" spans="2:13" s="75" customFormat="1" ht="15.65" customHeight="1" x14ac:dyDescent="0.35">
      <c r="J120" s="93" t="str">
        <f>J80</f>
        <v>Yang Melakukan Perjalanan Dinas,</v>
      </c>
    </row>
    <row r="121" spans="2:13" s="75" customFormat="1" ht="15" customHeight="1" x14ac:dyDescent="0.35"/>
    <row r="122" spans="2:13" s="75" customFormat="1" ht="15" customHeight="1" x14ac:dyDescent="0.35"/>
    <row r="123" spans="2:13" s="75" customFormat="1" ht="15" customHeight="1" x14ac:dyDescent="0.35"/>
    <row r="124" spans="2:13" s="75" customFormat="1" ht="15" customHeight="1" x14ac:dyDescent="0.35"/>
    <row r="125" spans="2:13" s="75" customFormat="1" ht="15.65" customHeight="1" x14ac:dyDescent="0.35">
      <c r="J125" s="93" t="str">
        <f>J31</f>
        <v xml:space="preserve">SYECH MUKHAMAR REZA KHARAMI, S.H. </v>
      </c>
    </row>
    <row r="126" spans="2:13" s="75" customFormat="1" ht="15.65" customHeight="1" x14ac:dyDescent="0.35">
      <c r="J126" s="93"/>
      <c r="K126" s="93"/>
    </row>
  </sheetData>
  <mergeCells count="53">
    <mergeCell ref="N13:O13"/>
    <mergeCell ref="J27:M27"/>
    <mergeCell ref="B9:I9"/>
    <mergeCell ref="L72:M72"/>
    <mergeCell ref="D75:M75"/>
    <mergeCell ref="A21:M21"/>
    <mergeCell ref="C60:F60"/>
    <mergeCell ref="L70:M70"/>
    <mergeCell ref="B25:F25"/>
    <mergeCell ref="H38:I38"/>
    <mergeCell ref="A1:M1"/>
    <mergeCell ref="B27:H27"/>
    <mergeCell ref="J25:K25"/>
    <mergeCell ref="H37:I37"/>
    <mergeCell ref="C10:I10"/>
    <mergeCell ref="K2:M2"/>
    <mergeCell ref="L8:M8"/>
    <mergeCell ref="L14:M14"/>
    <mergeCell ref="B8:I8"/>
    <mergeCell ref="A4:M4"/>
    <mergeCell ref="G6:I6"/>
    <mergeCell ref="D94:M94"/>
    <mergeCell ref="D64:E65"/>
    <mergeCell ref="C112:M112"/>
    <mergeCell ref="L15:M15"/>
    <mergeCell ref="L18:M18"/>
    <mergeCell ref="C109:M109"/>
    <mergeCell ref="A20:I20"/>
    <mergeCell ref="D66:E66"/>
    <mergeCell ref="A51:M51"/>
    <mergeCell ref="D90:M90"/>
    <mergeCell ref="D93:M93"/>
    <mergeCell ref="A35:M35"/>
    <mergeCell ref="D69:E69"/>
    <mergeCell ref="L17:M17"/>
    <mergeCell ref="F64:K65"/>
    <mergeCell ref="L64:M65"/>
    <mergeCell ref="C116:M116"/>
    <mergeCell ref="L13:M13"/>
    <mergeCell ref="D89:M89"/>
    <mergeCell ref="B12:I12"/>
    <mergeCell ref="H39:I39"/>
    <mergeCell ref="A98:M98"/>
    <mergeCell ref="L73:M73"/>
    <mergeCell ref="D71:E71"/>
    <mergeCell ref="D91:M91"/>
    <mergeCell ref="A95:M95"/>
    <mergeCell ref="C108:M108"/>
    <mergeCell ref="D92:M92"/>
    <mergeCell ref="L19:M19"/>
    <mergeCell ref="C107:M107"/>
    <mergeCell ref="L67:M67"/>
    <mergeCell ref="L16:M16"/>
  </mergeCells>
  <hyperlinks>
    <hyperlink ref="A1" location="'MENU'!A1" display="&lt;&lt; MENU" xr:uid="{00000000-0004-0000-0400-000000000000}"/>
  </hyperlinks>
  <pageMargins left="0.39370078740157483" right="0.39370078740157483" top="0.74803149606299213" bottom="0.74803149606299213" header="0.31496062992125978" footer="0.31496062992125978"/>
  <pageSetup paperSize="9" scale="72" orientation="portrait" horizontalDpi="360" verticalDpi="360" r:id="rId1"/>
  <rowBreaks count="2" manualBreakCount="2">
    <brk id="48" max="12" man="1"/>
    <brk id="87" max="1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T124"/>
  <sheetViews>
    <sheetView view="pageBreakPreview" topLeftCell="A6" zoomScale="90" zoomScaleNormal="100" zoomScaleSheetLayoutView="90" workbookViewId="0">
      <selection activeCell="B31" sqref="B31"/>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Disini'!G11</f>
        <v>WIM.16.IMI.1-KU.03.01-2440</v>
      </c>
      <c r="H5" s="24"/>
      <c r="I5" s="24"/>
      <c r="J5" s="24"/>
      <c r="K5" s="24"/>
      <c r="L5" s="24"/>
      <c r="M5" s="24"/>
      <c r="N5" s="24"/>
      <c r="O5" s="24"/>
    </row>
    <row r="6" spans="1:19" x14ac:dyDescent="0.35">
      <c r="A6" s="24" t="s">
        <v>110</v>
      </c>
      <c r="B6" s="24"/>
      <c r="C6" s="24"/>
      <c r="D6" s="24"/>
      <c r="E6" s="24"/>
      <c r="F6" s="69" t="s">
        <v>105</v>
      </c>
      <c r="G6" s="327">
        <f>'Isi Disini'!H11</f>
        <v>46169</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str">
        <f>Nominatif!C11</f>
        <v xml:space="preserve">SAULINA SIMORANGKIR, S.S. </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Nominatif!K11</f>
        <v>3032210.333333333</v>
      </c>
      <c r="L13" s="311"/>
      <c r="M13" s="236"/>
      <c r="N13" s="24"/>
      <c r="O13" s="24"/>
    </row>
    <row r="14" spans="1:19" ht="15" customHeight="1" x14ac:dyDescent="0.35">
      <c r="A14" s="33"/>
      <c r="B14" s="38"/>
      <c r="C14" s="39" t="str">
        <f>'Isi Disini'!M11</f>
        <v>Batik Air (PNK - CGK)</v>
      </c>
      <c r="D14" s="40"/>
      <c r="E14" s="40"/>
      <c r="F14" s="40"/>
      <c r="G14" s="41"/>
      <c r="H14" s="40"/>
      <c r="I14" s="66">
        <f>'Isi Disini'!N11</f>
        <v>1550263</v>
      </c>
      <c r="J14" s="66"/>
      <c r="K14" s="65"/>
      <c r="L14" s="311" t="s">
        <v>165</v>
      </c>
      <c r="M14" s="236"/>
      <c r="N14" s="24"/>
      <c r="O14" s="24"/>
      <c r="R14" s="104" t="s">
        <v>88</v>
      </c>
    </row>
    <row r="15" spans="1:19" ht="15" customHeight="1" x14ac:dyDescent="0.35">
      <c r="A15" s="33"/>
      <c r="B15" s="38"/>
      <c r="C15" s="39" t="str">
        <f>'Isi Disini'!O11</f>
        <v>Citilink (CGK - PNK)</v>
      </c>
      <c r="D15" s="40"/>
      <c r="E15" s="40"/>
      <c r="F15" s="40"/>
      <c r="G15" s="41"/>
      <c r="H15" s="40"/>
      <c r="I15" s="66">
        <f>'Isi Disini'!P11</f>
        <v>1481947.3333333333</v>
      </c>
      <c r="J15" s="66"/>
      <c r="K15" s="65"/>
      <c r="L15" s="311" t="s">
        <v>165</v>
      </c>
      <c r="M15" s="236"/>
      <c r="N15" s="24"/>
      <c r="O15" s="24" t="s">
        <v>88</v>
      </c>
    </row>
    <row r="16" spans="1:19" ht="15" customHeight="1" x14ac:dyDescent="0.35">
      <c r="A16" s="33"/>
      <c r="B16" s="38" t="s">
        <v>80</v>
      </c>
      <c r="C16" s="39" t="s">
        <v>56</v>
      </c>
      <c r="D16" s="40"/>
      <c r="E16" s="40"/>
      <c r="F16" s="40"/>
      <c r="G16" s="61">
        <f>'Isi Disini'!J11</f>
        <v>1</v>
      </c>
      <c r="H16" s="67" t="s">
        <v>134</v>
      </c>
      <c r="I16" s="66">
        <f>'Isi Disini'!L11</f>
        <v>530000</v>
      </c>
      <c r="J16" s="66"/>
      <c r="K16" s="65">
        <f>G16*I16</f>
        <v>530000</v>
      </c>
      <c r="L16" s="311" t="s">
        <v>166</v>
      </c>
      <c r="M16" s="236"/>
      <c r="N16" s="24"/>
      <c r="O16" s="24"/>
    </row>
    <row r="17" spans="1:15" ht="15" customHeight="1" x14ac:dyDescent="0.35">
      <c r="A17" s="33"/>
      <c r="B17" s="38" t="s">
        <v>80</v>
      </c>
      <c r="C17" s="39" t="s">
        <v>167</v>
      </c>
      <c r="D17" s="40"/>
      <c r="E17" s="40"/>
      <c r="F17" s="40"/>
      <c r="G17" s="41"/>
      <c r="H17" s="40"/>
      <c r="I17" s="66"/>
      <c r="J17" s="66"/>
      <c r="K17" s="172">
        <f>Nominatif!P11</f>
        <v>1460000</v>
      </c>
      <c r="L17" s="311" t="s">
        <v>165</v>
      </c>
      <c r="M17" s="236"/>
      <c r="N17" s="24"/>
      <c r="O17" s="24"/>
    </row>
    <row r="18" spans="1:15" ht="15" customHeight="1" x14ac:dyDescent="0.35">
      <c r="A18" s="33"/>
      <c r="B18" s="38" t="s">
        <v>80</v>
      </c>
      <c r="C18" s="39" t="s">
        <v>168</v>
      </c>
      <c r="D18" s="40"/>
      <c r="E18" s="40"/>
      <c r="F18" s="40"/>
      <c r="G18" s="41"/>
      <c r="H18" s="40"/>
      <c r="I18" s="66"/>
      <c r="J18" s="66"/>
      <c r="K18" s="65">
        <f>SUM(Nominatif!L11:M11)</f>
        <v>811500</v>
      </c>
      <c r="L18" s="311" t="s">
        <v>165</v>
      </c>
      <c r="M18" s="236"/>
      <c r="N18" s="24"/>
      <c r="O18" s="24"/>
    </row>
    <row r="19" spans="1:15" ht="15" customHeight="1" x14ac:dyDescent="0.35">
      <c r="A19" s="33"/>
      <c r="B19" s="38" t="s">
        <v>80</v>
      </c>
      <c r="C19" s="54" t="s">
        <v>169</v>
      </c>
      <c r="D19" s="40"/>
      <c r="E19" s="40"/>
      <c r="F19" s="40"/>
      <c r="G19" s="41"/>
      <c r="H19" s="40"/>
      <c r="I19" s="66"/>
      <c r="J19" s="66"/>
      <c r="K19" s="65">
        <f>Nominatif!N11</f>
        <v>0</v>
      </c>
      <c r="L19" s="309" t="s">
        <v>166</v>
      </c>
      <c r="M19" s="237"/>
      <c r="N19" s="24"/>
      <c r="O19" s="24"/>
    </row>
    <row r="20" spans="1:15" ht="15" customHeight="1" thickBot="1" x14ac:dyDescent="0.4">
      <c r="A20" s="313" t="s">
        <v>118</v>
      </c>
      <c r="B20" s="258"/>
      <c r="C20" s="258"/>
      <c r="D20" s="258"/>
      <c r="E20" s="258"/>
      <c r="F20" s="258"/>
      <c r="G20" s="258"/>
      <c r="H20" s="258"/>
      <c r="I20" s="232"/>
      <c r="J20" s="60"/>
      <c r="K20" s="181">
        <f>SUM(K9:K19)</f>
        <v>5833710.333333333</v>
      </c>
      <c r="L20" s="44"/>
      <c r="M20" s="45"/>
    </row>
    <row r="21" spans="1:15" ht="15" customHeight="1" thickBot="1" x14ac:dyDescent="0.4">
      <c r="A21" s="334" t="s">
        <v>209</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f>K20</f>
        <v>5833710.333333333</v>
      </c>
      <c r="C25" s="285"/>
      <c r="D25" s="285"/>
      <c r="E25" s="285"/>
      <c r="F25" s="47"/>
      <c r="G25" s="47"/>
      <c r="H25" s="47"/>
      <c r="I25" s="46"/>
      <c r="J25" s="321">
        <f>K20</f>
        <v>5833710.333333333</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25" t="str">
        <f>'Isi Disini'!W44</f>
        <v xml:space="preserve">MUHAMMAD REZA, S.H. </v>
      </c>
      <c r="I31" s="24"/>
      <c r="J31" s="25" t="str">
        <f>C10</f>
        <v xml:space="preserve">SAULINA SIMORANGKIR, S.S. </v>
      </c>
      <c r="K31" s="70"/>
      <c r="L31" s="70"/>
      <c r="M31" s="70"/>
    </row>
    <row r="32" spans="1:15" x14ac:dyDescent="0.35">
      <c r="A32" s="24"/>
      <c r="B32" s="25" t="str">
        <f>'Isi Disini'!W45</f>
        <v>NIP. 19840124 200212 1 002</v>
      </c>
      <c r="C32" s="71"/>
      <c r="I32" s="24"/>
      <c r="J32" s="25" t="str">
        <f>"NIP. "&amp;_xlfn.XLOOKUP('Isi Disini'!W44,'nama pegawai'!B:B,'nama pegawai'!C:C,"")</f>
        <v>NIP. 19840124 200212 1 002</v>
      </c>
      <c r="K32" s="319"/>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f>K20</f>
        <v>5833710.333333333</v>
      </c>
      <c r="I37" s="285"/>
      <c r="J37" s="47"/>
      <c r="K37" s="24"/>
      <c r="L37" s="24"/>
      <c r="M37" s="24"/>
    </row>
    <row r="38" spans="1:14" x14ac:dyDescent="0.35">
      <c r="A38" s="24" t="s">
        <v>178</v>
      </c>
      <c r="B38" s="24"/>
      <c r="C38" s="24"/>
      <c r="D38" s="24"/>
      <c r="E38" s="24"/>
      <c r="F38" s="24"/>
      <c r="G38" s="51" t="s">
        <v>105</v>
      </c>
      <c r="H38" s="332">
        <f>B25</f>
        <v>5833710.333333333</v>
      </c>
      <c r="I38" s="285"/>
      <c r="J38" s="52"/>
      <c r="K38" s="24"/>
      <c r="L38" s="24"/>
      <c r="M38" s="24"/>
      <c r="N38" s="68" t="s">
        <v>88</v>
      </c>
    </row>
    <row r="39" spans="1:14" x14ac:dyDescent="0.35">
      <c r="A39" s="24" t="s">
        <v>179</v>
      </c>
      <c r="B39" s="24"/>
      <c r="C39" s="24"/>
      <c r="D39" s="24"/>
      <c r="E39" s="24"/>
      <c r="F39" s="24"/>
      <c r="G39" s="51" t="s">
        <v>105</v>
      </c>
      <c r="H39" s="306">
        <f>H37-H38</f>
        <v>0</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181</v>
      </c>
      <c r="L48" s="25"/>
      <c r="M48" s="25"/>
    </row>
    <row r="51" spans="1:20" ht="17.399999999999999" customHeight="1" x14ac:dyDescent="0.4">
      <c r="A51" s="289" t="s">
        <v>98</v>
      </c>
      <c r="B51" s="285"/>
      <c r="C51" s="285"/>
      <c r="D51" s="285"/>
      <c r="E51" s="285"/>
      <c r="F51" s="285"/>
      <c r="G51" s="285"/>
      <c r="H51" s="285"/>
      <c r="I51" s="285"/>
      <c r="J51" s="285"/>
      <c r="K51" s="285"/>
      <c r="L51" s="285"/>
      <c r="M51" s="285"/>
    </row>
    <row r="53" spans="1:20" s="75" customFormat="1" ht="15" customHeight="1" x14ac:dyDescent="0.35">
      <c r="C53" s="75" t="s">
        <v>182</v>
      </c>
    </row>
    <row r="54" spans="1:20" s="75" customFormat="1" ht="15" customHeight="1" x14ac:dyDescent="0.35"/>
    <row r="55" spans="1:20" s="75" customFormat="1" ht="15" customHeight="1" x14ac:dyDescent="0.35">
      <c r="C55" s="75" t="s">
        <v>45</v>
      </c>
      <c r="E55" s="76" t="s">
        <v>105</v>
      </c>
      <c r="F55" s="75" t="str">
        <f>C10</f>
        <v xml:space="preserve">SAULINA SIMORANGKIR, S.S. </v>
      </c>
    </row>
    <row r="56" spans="1:20" s="75" customFormat="1" ht="15" customHeight="1" x14ac:dyDescent="0.35">
      <c r="C56" s="75" t="s">
        <v>106</v>
      </c>
      <c r="E56" s="76" t="s">
        <v>105</v>
      </c>
      <c r="F56" s="75">
        <f>K32</f>
        <v>0</v>
      </c>
    </row>
    <row r="57" spans="1:20" s="75" customFormat="1" ht="15" customHeight="1" x14ac:dyDescent="0.35">
      <c r="C57" s="75" t="s">
        <v>47</v>
      </c>
      <c r="E57" s="76" t="s">
        <v>105</v>
      </c>
      <c r="F57" s="75" t="str">
        <f>'Isi Disini'!E11</f>
        <v>KASUBSI REGISTRASI</v>
      </c>
    </row>
    <row r="58" spans="1:20" s="75" customFormat="1" ht="15" customHeight="1" x14ac:dyDescent="0.35"/>
    <row r="59" spans="1:20" s="75" customFormat="1" ht="15" customHeight="1" x14ac:dyDescent="0.35">
      <c r="C59" s="75" t="s">
        <v>183</v>
      </c>
      <c r="J59" s="75" t="str">
        <f>G5</f>
        <v>WIM.16.IMI.1-KU.03.01-2440</v>
      </c>
      <c r="M59" s="75" t="s">
        <v>184</v>
      </c>
    </row>
    <row r="60" spans="1:20" s="75" customFormat="1" ht="15" customHeight="1" x14ac:dyDescent="0.35">
      <c r="C60" s="331">
        <f>G6</f>
        <v>46169</v>
      </c>
      <c r="D60" s="282"/>
      <c r="E60" s="282"/>
      <c r="F60" s="282"/>
      <c r="G60" s="75" t="s">
        <v>185</v>
      </c>
      <c r="T60" s="75" t="s">
        <v>88</v>
      </c>
    </row>
    <row r="61" spans="1:20" s="75" customFormat="1" ht="15" customHeight="1" x14ac:dyDescent="0.35"/>
    <row r="62" spans="1:20" s="75" customFormat="1" ht="15" customHeight="1" x14ac:dyDescent="0.35">
      <c r="C62" s="75" t="s">
        <v>114</v>
      </c>
      <c r="D62" s="75" t="s">
        <v>186</v>
      </c>
    </row>
    <row r="63" spans="1:20" s="75" customFormat="1" ht="15" customHeight="1" x14ac:dyDescent="0.35"/>
    <row r="64" spans="1:20"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Disini'!J11</f>
        <v>1</v>
      </c>
      <c r="G67" s="83" t="e">
        <f ca="1">PROPER([1]!terbilang(F67)) &amp; " hari x"</f>
        <v>#NAME?</v>
      </c>
      <c r="I67" s="84">
        <f>'Isi Disini'!L11</f>
        <v>530000</v>
      </c>
      <c r="K67" s="85"/>
      <c r="L67" s="310">
        <f>F67*I67</f>
        <v>530000</v>
      </c>
      <c r="M67" s="236"/>
    </row>
    <row r="68" spans="3:13" s="75" customFormat="1" ht="15" customHeight="1" x14ac:dyDescent="0.35">
      <c r="D68" s="80"/>
      <c r="E68" s="81"/>
      <c r="F68" s="82"/>
      <c r="G68" s="83"/>
      <c r="I68" s="84"/>
      <c r="K68" s="85"/>
      <c r="L68" s="102"/>
      <c r="M68" s="112"/>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Disini'!J11</f>
        <v>1</v>
      </c>
      <c r="G70" s="83" t="e">
        <f ca="1">PROPER([1]!terbilang(F67)) &amp; " hari x"</f>
        <v>#NAME?</v>
      </c>
      <c r="I70" s="84">
        <f>'Isi Disini'!T11</f>
        <v>0</v>
      </c>
      <c r="K70" s="85"/>
      <c r="L70" s="310">
        <f>F70*I70</f>
        <v>0</v>
      </c>
      <c r="M70" s="236"/>
    </row>
    <row r="71" spans="3:13" s="75" customFormat="1" ht="15.65" customHeight="1" x14ac:dyDescent="0.35">
      <c r="D71" s="88"/>
      <c r="E71" s="89"/>
      <c r="F71" s="90" t="s">
        <v>118</v>
      </c>
      <c r="G71" s="91"/>
      <c r="H71" s="91"/>
      <c r="I71" s="91"/>
      <c r="J71" s="91"/>
      <c r="K71" s="91"/>
      <c r="L71" s="307">
        <f>L67+L70</f>
        <v>530000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0" t="s">
        <v>149</v>
      </c>
      <c r="E83" s="25"/>
      <c r="F83" s="25"/>
      <c r="J83" s="93" t="str">
        <f>J31</f>
        <v xml:space="preserve">SAULINA SIMORANGKIR, S.S. </v>
      </c>
    </row>
    <row r="84" spans="1:13" s="75" customFormat="1" ht="15.65" customHeight="1" x14ac:dyDescent="0.35">
      <c r="D84" s="110" t="s">
        <v>150</v>
      </c>
      <c r="E84" s="71" t="s">
        <v>181</v>
      </c>
      <c r="F84" s="25"/>
      <c r="J84" s="93" t="s">
        <v>151</v>
      </c>
      <c r="K84" s="93">
        <f>K32</f>
        <v>0</v>
      </c>
    </row>
    <row r="85" spans="1:13" s="75" customFormat="1" ht="15" customHeight="1" x14ac:dyDescent="0.35"/>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s="98" customFormat="1" ht="18" customHeight="1" x14ac:dyDescent="0.45">
      <c r="A96" s="289" t="s">
        <v>193</v>
      </c>
      <c r="B96" s="333"/>
      <c r="C96" s="333"/>
      <c r="D96" s="333"/>
      <c r="E96" s="333"/>
      <c r="F96" s="333"/>
      <c r="G96" s="333"/>
      <c r="H96" s="333"/>
      <c r="I96" s="333"/>
      <c r="J96" s="333"/>
      <c r="K96" s="333"/>
      <c r="L96" s="333"/>
      <c r="M96" s="333"/>
    </row>
    <row r="98" spans="2:13" s="75" customFormat="1" ht="15" customHeight="1" x14ac:dyDescent="0.35">
      <c r="B98" s="75" t="s">
        <v>182</v>
      </c>
    </row>
    <row r="99" spans="2:13" s="75" customFormat="1" ht="15" customHeight="1" x14ac:dyDescent="0.35"/>
    <row r="100" spans="2:13" s="75" customFormat="1" ht="15" customHeight="1" x14ac:dyDescent="0.35">
      <c r="B100" s="75" t="s">
        <v>45</v>
      </c>
      <c r="D100" s="76" t="s">
        <v>105</v>
      </c>
      <c r="E100" s="75" t="str">
        <f>F55</f>
        <v xml:space="preserve">SAULINA SIMORANGKIR, S.S. </v>
      </c>
    </row>
    <row r="101" spans="2:13" s="75" customFormat="1" ht="15" customHeight="1" x14ac:dyDescent="0.35">
      <c r="B101" s="75" t="s">
        <v>106</v>
      </c>
      <c r="D101" s="76" t="s">
        <v>105</v>
      </c>
      <c r="E101" s="75">
        <f>F56</f>
        <v>0</v>
      </c>
    </row>
    <row r="102" spans="2:13" s="75" customFormat="1" ht="15" customHeight="1" x14ac:dyDescent="0.35">
      <c r="B102" s="75" t="s">
        <v>47</v>
      </c>
      <c r="D102" s="76" t="s">
        <v>105</v>
      </c>
      <c r="E102" s="75" t="str">
        <f>F57</f>
        <v>KASUBSI REGISTRASI</v>
      </c>
    </row>
    <row r="103" spans="2:13" s="75" customFormat="1" ht="15" customHeight="1" x14ac:dyDescent="0.35"/>
    <row r="104" spans="2:13" s="75" customFormat="1" ht="15" customHeight="1" x14ac:dyDescent="0.35">
      <c r="B104" s="75" t="s">
        <v>194</v>
      </c>
    </row>
    <row r="105" spans="2:13" s="97" customFormat="1" ht="66"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33" customHeight="1" x14ac:dyDescent="0.35">
      <c r="B106" s="96" t="s">
        <v>140</v>
      </c>
      <c r="C106" s="302" t="s">
        <v>195</v>
      </c>
      <c r="D106" s="303"/>
      <c r="E106" s="303"/>
      <c r="F106" s="303"/>
      <c r="G106" s="303"/>
      <c r="H106" s="303"/>
      <c r="I106" s="303"/>
      <c r="J106" s="303"/>
      <c r="K106" s="303"/>
      <c r="L106" s="303"/>
      <c r="M106" s="303"/>
    </row>
    <row r="107" spans="2:13" s="97" customFormat="1" ht="23.25" hidden="1" customHeight="1" x14ac:dyDescent="0.35">
      <c r="B107" s="96" t="s">
        <v>196</v>
      </c>
      <c r="C107" s="302" t="s">
        <v>210</v>
      </c>
      <c r="D107" s="303"/>
      <c r="E107" s="303"/>
      <c r="F107" s="303"/>
      <c r="G107" s="303"/>
      <c r="H107" s="303"/>
      <c r="I107" s="303"/>
      <c r="J107" s="303"/>
      <c r="K107" s="303"/>
      <c r="L107" s="303"/>
      <c r="M107" s="303"/>
    </row>
    <row r="108" spans="2:13" s="97" customFormat="1" ht="15" hidden="1" customHeight="1" x14ac:dyDescent="0.35">
      <c r="C108" s="97" t="s">
        <v>198</v>
      </c>
      <c r="D108" s="97" t="s">
        <v>211</v>
      </c>
    </row>
    <row r="109" spans="2:13" s="97" customFormat="1" ht="18" hidden="1" customHeight="1" x14ac:dyDescent="0.35">
      <c r="C109" s="97" t="s">
        <v>200</v>
      </c>
      <c r="D109" s="97" t="s">
        <v>212</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 customHeight="1" x14ac:dyDescent="0.35"/>
    <row r="116" spans="2:13" s="75" customFormat="1" ht="15" customHeight="1" x14ac:dyDescent="0.35"/>
    <row r="117" spans="2:13" s="75" customFormat="1" ht="15" customHeight="1" x14ac:dyDescent="0.35">
      <c r="J117" s="75" t="str">
        <f>J23</f>
        <v>Pontianak,</v>
      </c>
    </row>
    <row r="118" spans="2:13" s="75" customFormat="1" ht="15.65" customHeight="1" x14ac:dyDescent="0.35">
      <c r="J118" s="93" t="str">
        <f>J78</f>
        <v>Yang Melakukan Perjalanan Dinas,</v>
      </c>
    </row>
    <row r="119" spans="2:13" s="75" customFormat="1" ht="15" customHeight="1" x14ac:dyDescent="0.35"/>
    <row r="120" spans="2:13" s="75" customFormat="1" ht="15" customHeight="1" x14ac:dyDescent="0.35"/>
    <row r="121" spans="2:13" s="75" customFormat="1" ht="15" customHeight="1" x14ac:dyDescent="0.35"/>
    <row r="122" spans="2:13" s="75" customFormat="1" ht="15" customHeight="1" x14ac:dyDescent="0.35"/>
    <row r="123" spans="2:13" s="75" customFormat="1" ht="15.65" customHeight="1" x14ac:dyDescent="0.35">
      <c r="J123" s="93" t="str">
        <f>J31</f>
        <v xml:space="preserve">SAULINA SIMORANGKIR, S.S. </v>
      </c>
    </row>
    <row r="124" spans="2:13" s="75" customFormat="1" ht="15.65" customHeight="1" x14ac:dyDescent="0.35">
      <c r="J124" s="93" t="s">
        <v>151</v>
      </c>
      <c r="K124" s="93">
        <f>K32</f>
        <v>0</v>
      </c>
    </row>
  </sheetData>
  <mergeCells count="51">
    <mergeCell ref="C114:M114"/>
    <mergeCell ref="C105:M105"/>
    <mergeCell ref="A1:M1"/>
    <mergeCell ref="B27:H27"/>
    <mergeCell ref="J25:K25"/>
    <mergeCell ref="H37:I37"/>
    <mergeCell ref="C10:I10"/>
    <mergeCell ref="C110:M110"/>
    <mergeCell ref="B9:I9"/>
    <mergeCell ref="J27:M27"/>
    <mergeCell ref="C106:M106"/>
    <mergeCell ref="D91:M91"/>
    <mergeCell ref="A21:M21"/>
    <mergeCell ref="D87:M87"/>
    <mergeCell ref="C60:F60"/>
    <mergeCell ref="K2:M2"/>
    <mergeCell ref="L19:M19"/>
    <mergeCell ref="A93:M93"/>
    <mergeCell ref="D64:E65"/>
    <mergeCell ref="D88:M88"/>
    <mergeCell ref="L15:M15"/>
    <mergeCell ref="L18:M18"/>
    <mergeCell ref="L71:M71"/>
    <mergeCell ref="B25:E25"/>
    <mergeCell ref="D90:M90"/>
    <mergeCell ref="D92:M92"/>
    <mergeCell ref="C107:M107"/>
    <mergeCell ref="D73:M73"/>
    <mergeCell ref="A96:M96"/>
    <mergeCell ref="D89:M89"/>
    <mergeCell ref="H39:I39"/>
    <mergeCell ref="L70:M70"/>
    <mergeCell ref="D69:E69"/>
    <mergeCell ref="D66:E66"/>
    <mergeCell ref="A51:M51"/>
    <mergeCell ref="G6:I6"/>
    <mergeCell ref="L67:M67"/>
    <mergeCell ref="L16:M16"/>
    <mergeCell ref="A35:M35"/>
    <mergeCell ref="A4:M4"/>
    <mergeCell ref="L13:M13"/>
    <mergeCell ref="B12:I12"/>
    <mergeCell ref="L17:M17"/>
    <mergeCell ref="F64:K65"/>
    <mergeCell ref="L64:M65"/>
    <mergeCell ref="K32:M32"/>
    <mergeCell ref="H38:I38"/>
    <mergeCell ref="L14:M14"/>
    <mergeCell ref="L8:M8"/>
    <mergeCell ref="B8:I8"/>
    <mergeCell ref="A20:I20"/>
  </mergeCells>
  <hyperlinks>
    <hyperlink ref="A1" location="'MENU'!A1" display="&lt;&lt; MENU" xr:uid="{00000000-0004-0000-0500-000000000000}"/>
  </hyperlinks>
  <pageMargins left="0.39370078740157483" right="0.39370078740157483" top="0.74803149606299213" bottom="0.74803149606299213" header="0.31496062992125978" footer="0.31496062992125978"/>
  <pageSetup paperSize="9" scale="84"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S124"/>
  <sheetViews>
    <sheetView view="pageBreakPreview" zoomScale="90" zoomScaleNormal="100" zoomScaleSheetLayoutView="90" workbookViewId="0">
      <selection activeCell="L14" sqref="L14:M14"/>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Disini'!G13</f>
        <v>WIM.16.IMI.1-KU.03.01-2441</v>
      </c>
      <c r="H5" s="24"/>
      <c r="I5" s="24"/>
      <c r="J5" s="24"/>
      <c r="K5" s="24"/>
      <c r="L5" s="24"/>
      <c r="M5" s="24"/>
      <c r="N5" s="24"/>
      <c r="O5" s="24"/>
    </row>
    <row r="6" spans="1:19" x14ac:dyDescent="0.35">
      <c r="A6" s="24" t="s">
        <v>110</v>
      </c>
      <c r="B6" s="24"/>
      <c r="C6" s="24"/>
      <c r="D6" s="24"/>
      <c r="E6" s="24"/>
      <c r="F6" s="69" t="s">
        <v>105</v>
      </c>
      <c r="G6" s="327">
        <f>'Isi Disini'!H13</f>
        <v>46170</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36" t="s">
        <v>73</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Nominatif!K13</f>
        <v>3032210.333333333</v>
      </c>
      <c r="L13" s="304"/>
      <c r="M13" s="236"/>
      <c r="N13" s="304" t="s">
        <v>164</v>
      </c>
      <c r="O13" s="236"/>
    </row>
    <row r="14" spans="1:19" ht="15" customHeight="1" x14ac:dyDescent="0.35">
      <c r="A14" s="33"/>
      <c r="B14" s="38"/>
      <c r="C14" s="39" t="str">
        <f>'Isi Disini'!M13</f>
        <v>Batik Air (PNK - CGK)</v>
      </c>
      <c r="D14" s="40"/>
      <c r="E14" s="40"/>
      <c r="F14" s="40"/>
      <c r="G14" s="41"/>
      <c r="H14" s="40"/>
      <c r="I14" s="66">
        <f>'Isi Disini'!N13</f>
        <v>1550263</v>
      </c>
      <c r="J14" s="66"/>
      <c r="K14" s="65"/>
      <c r="L14" s="311" t="s">
        <v>165</v>
      </c>
      <c r="M14" s="236"/>
      <c r="N14" s="24"/>
      <c r="O14" s="24"/>
    </row>
    <row r="15" spans="1:19" ht="15" customHeight="1" x14ac:dyDescent="0.35">
      <c r="A15" s="33"/>
      <c r="B15" s="38"/>
      <c r="C15" s="39" t="str">
        <f>'Isi Disini'!O13</f>
        <v>Citilink (CGK - PNK)</v>
      </c>
      <c r="D15" s="40"/>
      <c r="E15" s="40"/>
      <c r="F15" s="40"/>
      <c r="G15" s="41"/>
      <c r="H15" s="40"/>
      <c r="I15" s="66">
        <f>'Isi Disini'!P13</f>
        <v>1481947.3333333333</v>
      </c>
      <c r="J15" s="66"/>
      <c r="K15" s="65"/>
      <c r="L15" s="311" t="s">
        <v>165</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Disini'!L13</f>
        <v>530000</v>
      </c>
      <c r="J16" s="66"/>
      <c r="K16" s="65">
        <f>G16*I16</f>
        <v>530000</v>
      </c>
      <c r="L16" s="311" t="s">
        <v>166</v>
      </c>
      <c r="M16" s="236"/>
      <c r="N16" s="24"/>
      <c r="O16" s="24"/>
    </row>
    <row r="17" spans="1:15" ht="15" customHeight="1" x14ac:dyDescent="0.35">
      <c r="A17" s="33"/>
      <c r="B17" s="38" t="s">
        <v>80</v>
      </c>
      <c r="C17" s="39" t="s">
        <v>167</v>
      </c>
      <c r="D17" s="40"/>
      <c r="E17" s="40"/>
      <c r="F17" s="40"/>
      <c r="G17" s="41"/>
      <c r="H17" s="40"/>
      <c r="I17" s="66"/>
      <c r="J17" s="66"/>
      <c r="K17" s="172">
        <f>Nominatif!P13</f>
        <v>1460000</v>
      </c>
      <c r="L17" s="311" t="s">
        <v>165</v>
      </c>
      <c r="M17" s="236"/>
      <c r="N17" s="24"/>
      <c r="O17" s="24"/>
    </row>
    <row r="18" spans="1:15" ht="15" customHeight="1" x14ac:dyDescent="0.35">
      <c r="A18" s="33"/>
      <c r="B18" s="38" t="s">
        <v>80</v>
      </c>
      <c r="C18" s="39" t="s">
        <v>168</v>
      </c>
      <c r="D18" s="40"/>
      <c r="E18" s="40"/>
      <c r="F18" s="40"/>
      <c r="G18" s="41"/>
      <c r="H18" s="40"/>
      <c r="I18" s="66"/>
      <c r="J18" s="66"/>
      <c r="K18" s="65">
        <f>SUM(Nominatif!L13:M13)</f>
        <v>246000</v>
      </c>
      <c r="L18" s="311" t="s">
        <v>165</v>
      </c>
      <c r="M18" s="236"/>
      <c r="N18" s="24"/>
      <c r="O18" s="24"/>
    </row>
    <row r="19" spans="1:15" ht="15" customHeight="1" x14ac:dyDescent="0.35">
      <c r="A19" s="33"/>
      <c r="B19" s="38" t="s">
        <v>80</v>
      </c>
      <c r="C19" s="54" t="s">
        <v>169</v>
      </c>
      <c r="D19" s="40"/>
      <c r="E19" s="40"/>
      <c r="F19" s="40"/>
      <c r="G19" s="41"/>
      <c r="H19" s="40"/>
      <c r="I19" s="66"/>
      <c r="J19" s="66"/>
      <c r="K19" s="65">
        <f>Nominatif!N13</f>
        <v>0</v>
      </c>
      <c r="L19" s="311" t="s">
        <v>166</v>
      </c>
      <c r="M19" s="236"/>
      <c r="N19" s="24"/>
      <c r="O19" s="24"/>
    </row>
    <row r="20" spans="1:15" ht="15" customHeight="1" thickBot="1" x14ac:dyDescent="0.4">
      <c r="A20" s="313" t="s">
        <v>118</v>
      </c>
      <c r="B20" s="258"/>
      <c r="C20" s="258"/>
      <c r="D20" s="258"/>
      <c r="E20" s="258"/>
      <c r="F20" s="258"/>
      <c r="G20" s="258"/>
      <c r="H20" s="258"/>
      <c r="I20" s="232"/>
      <c r="J20" s="60"/>
      <c r="K20" s="181">
        <f>SUM(K9:K19)</f>
        <v>5268210.333333333</v>
      </c>
      <c r="L20" s="44"/>
      <c r="M20" s="45"/>
    </row>
    <row r="21" spans="1:15" ht="15" customHeight="1" thickBot="1" x14ac:dyDescent="0.4">
      <c r="A21" s="334" t="s">
        <v>213</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f>K20</f>
        <v>5268210.333333333</v>
      </c>
      <c r="C25" s="285"/>
      <c r="D25" s="285"/>
      <c r="E25" s="285"/>
      <c r="F25" s="47"/>
      <c r="G25" s="47"/>
      <c r="H25" s="47"/>
      <c r="I25" s="46"/>
      <c r="J25" s="321">
        <f>K20</f>
        <v>5268210.333333333</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319" t="s">
        <v>154</v>
      </c>
      <c r="C31" s="285"/>
      <c r="D31" s="285"/>
      <c r="E31" s="285"/>
      <c r="F31" s="285"/>
      <c r="G31" s="285"/>
      <c r="H31" s="285"/>
      <c r="I31" s="24"/>
      <c r="J31" s="25" t="str">
        <f>C10</f>
        <v>WAWAN LASMAWAN</v>
      </c>
      <c r="K31" s="70"/>
      <c r="L31" s="70"/>
      <c r="M31" s="70"/>
    </row>
    <row r="32" spans="1:15" x14ac:dyDescent="0.35">
      <c r="A32" s="24"/>
      <c r="B32" s="25" t="s">
        <v>174</v>
      </c>
      <c r="C32" s="335" t="s">
        <v>175</v>
      </c>
      <c r="D32" s="285"/>
      <c r="E32" s="285"/>
      <c r="F32" s="285"/>
      <c r="G32" s="285"/>
      <c r="H32" s="285"/>
      <c r="I32" s="24"/>
      <c r="J32" s="25" t="str">
        <f>"NIP. "&amp;_xlfn.XLOOKUP('Isi Disini'!W44,'nama pegawai'!B:B,'nama pegawai'!C:C,"")</f>
        <v>NIP. 19840124 200212 1 002</v>
      </c>
      <c r="K32" s="319">
        <f>'Isi Disini'!C14</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f>K20</f>
        <v>5268210.333333333</v>
      </c>
      <c r="I37" s="285"/>
      <c r="J37" s="47"/>
      <c r="K37" s="24"/>
      <c r="L37" s="24"/>
      <c r="M37" s="24"/>
    </row>
    <row r="38" spans="1:14" x14ac:dyDescent="0.35">
      <c r="A38" s="24" t="s">
        <v>178</v>
      </c>
      <c r="B38" s="24"/>
      <c r="C38" s="24"/>
      <c r="D38" s="24"/>
      <c r="E38" s="24"/>
      <c r="F38" s="24"/>
      <c r="G38" s="51" t="s">
        <v>105</v>
      </c>
      <c r="H38" s="332">
        <f>B25</f>
        <v>5268210.333333333</v>
      </c>
      <c r="I38" s="285"/>
      <c r="J38" s="52"/>
      <c r="K38" s="24"/>
      <c r="L38" s="24"/>
      <c r="M38" s="24"/>
      <c r="N38" s="68" t="s">
        <v>88</v>
      </c>
    </row>
    <row r="39" spans="1:14" x14ac:dyDescent="0.35">
      <c r="A39" s="24" t="s">
        <v>179</v>
      </c>
      <c r="B39" s="24"/>
      <c r="C39" s="24"/>
      <c r="D39" s="24"/>
      <c r="E39" s="24"/>
      <c r="F39" s="24"/>
      <c r="G39" s="51" t="s">
        <v>105</v>
      </c>
      <c r="H39" s="306">
        <f>H37-H38</f>
        <v>0</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181</v>
      </c>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str">
        <f>C10</f>
        <v>WAWAN LASMAWAN</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Disini'!E13</f>
        <v>0</v>
      </c>
    </row>
    <row r="58" spans="1:13" s="75" customFormat="1" ht="15" customHeight="1" x14ac:dyDescent="0.35"/>
    <row r="59" spans="1:13" s="75" customFormat="1" ht="15" customHeight="1" x14ac:dyDescent="0.35">
      <c r="C59" s="75" t="s">
        <v>183</v>
      </c>
      <c r="J59" s="75" t="str">
        <f>G5</f>
        <v>WIM.16.IMI.1-KU.03.01-2441</v>
      </c>
      <c r="M59" s="75" t="s">
        <v>184</v>
      </c>
    </row>
    <row r="60" spans="1:13" s="75" customFormat="1" ht="15" customHeight="1" x14ac:dyDescent="0.35">
      <c r="C60" s="331">
        <f>G6</f>
        <v>46170</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Disini'!J13</f>
        <v>1</v>
      </c>
      <c r="G67" s="83" t="e">
        <f ca="1">PROPER([1]!terbilang(F67)) &amp; " hari x"</f>
        <v>#NAME?</v>
      </c>
      <c r="I67" s="84">
        <f>'Isi Disini'!L13</f>
        <v>530000</v>
      </c>
      <c r="K67" s="85"/>
      <c r="L67" s="310">
        <f>F67*I67</f>
        <v>530000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Disini'!J13</f>
        <v>1</v>
      </c>
      <c r="G70" s="83" t="e">
        <f ca="1">PROPER([1]!terbilang(F67)) &amp; " hari x"</f>
        <v>#NAME?</v>
      </c>
      <c r="I70" s="84">
        <f>'Isi Disini'!T13</f>
        <v>0</v>
      </c>
      <c r="K70" s="85"/>
      <c r="L70" s="310">
        <f>F70*I70</f>
        <v>0</v>
      </c>
      <c r="M70" s="236"/>
    </row>
    <row r="71" spans="3:13" s="75" customFormat="1" ht="15.65" customHeight="1" x14ac:dyDescent="0.35">
      <c r="D71" s="88"/>
      <c r="E71" s="89"/>
      <c r="F71" s="90" t="s">
        <v>118</v>
      </c>
      <c r="G71" s="91"/>
      <c r="H71" s="91"/>
      <c r="I71" s="91"/>
      <c r="J71" s="91"/>
      <c r="K71" s="91"/>
      <c r="L71" s="307">
        <f>L67+L70</f>
        <v>530000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0" t="s">
        <v>149</v>
      </c>
      <c r="E83" s="25"/>
      <c r="F83" s="25"/>
      <c r="J83" s="93" t="str">
        <f>J31</f>
        <v>WAWAN LASMAWAN</v>
      </c>
    </row>
    <row r="84" spans="1:13" s="75" customFormat="1" ht="15.65" customHeight="1" x14ac:dyDescent="0.35">
      <c r="D84" s="110" t="s">
        <v>150</v>
      </c>
      <c r="E84" s="71" t="s">
        <v>181</v>
      </c>
      <c r="F84" s="25"/>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3" s="24" customFormat="1" ht="13.75" customHeight="1" x14ac:dyDescent="0.3">
      <c r="B98" s="24" t="s">
        <v>182</v>
      </c>
    </row>
    <row r="99" spans="2:13" s="24" customFormat="1" ht="13.75" customHeight="1" x14ac:dyDescent="0.3"/>
    <row r="100" spans="2:13" s="24" customFormat="1" ht="13.75" customHeight="1" x14ac:dyDescent="0.3">
      <c r="B100" s="24" t="s">
        <v>45</v>
      </c>
      <c r="D100" s="69" t="s">
        <v>105</v>
      </c>
      <c r="E100" s="24" t="str">
        <f>F55</f>
        <v>WAWAN LASMAWAN</v>
      </c>
    </row>
    <row r="101" spans="2:13" s="24" customFormat="1" ht="13.75" customHeight="1" x14ac:dyDescent="0.3">
      <c r="B101" s="24" t="s">
        <v>106</v>
      </c>
      <c r="D101" s="69" t="s">
        <v>105</v>
      </c>
      <c r="E101" s="24">
        <f>F56</f>
        <v>0</v>
      </c>
    </row>
    <row r="102" spans="2:13" s="24" customFormat="1" ht="13.75" customHeight="1" x14ac:dyDescent="0.3">
      <c r="B102" s="24" t="s">
        <v>47</v>
      </c>
      <c r="D102" s="69" t="s">
        <v>105</v>
      </c>
      <c r="E102" s="24">
        <f>F57</f>
        <v>0</v>
      </c>
    </row>
    <row r="103" spans="2:13" s="24" customFormat="1" ht="13.75" customHeight="1" x14ac:dyDescent="0.3"/>
    <row r="104" spans="2:13" s="75" customFormat="1" ht="15" customHeight="1" x14ac:dyDescent="0.35">
      <c r="B104" s="75" t="s">
        <v>194</v>
      </c>
    </row>
    <row r="105" spans="2:13" s="97" customFormat="1" ht="66"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33" customHeight="1" x14ac:dyDescent="0.35">
      <c r="B106" s="96" t="s">
        <v>140</v>
      </c>
      <c r="C106" s="302" t="s">
        <v>195</v>
      </c>
      <c r="D106" s="303"/>
      <c r="E106" s="303"/>
      <c r="F106" s="303"/>
      <c r="G106" s="303"/>
      <c r="H106" s="303"/>
      <c r="I106" s="303"/>
      <c r="J106" s="303"/>
      <c r="K106" s="303"/>
      <c r="L106" s="303"/>
      <c r="M106" s="303"/>
    </row>
    <row r="107" spans="2:13" s="97" customFormat="1" ht="23.25" hidden="1" customHeight="1" x14ac:dyDescent="0.35">
      <c r="B107" s="96" t="s">
        <v>196</v>
      </c>
      <c r="C107" s="302" t="s">
        <v>210</v>
      </c>
      <c r="D107" s="303"/>
      <c r="E107" s="303"/>
      <c r="F107" s="303"/>
      <c r="G107" s="303"/>
      <c r="H107" s="303"/>
      <c r="I107" s="303"/>
      <c r="J107" s="303"/>
      <c r="K107" s="303"/>
      <c r="L107" s="303"/>
      <c r="M107" s="303"/>
    </row>
    <row r="108" spans="2:13" s="97" customFormat="1" ht="15" hidden="1" customHeight="1" x14ac:dyDescent="0.35">
      <c r="C108" s="97" t="s">
        <v>198</v>
      </c>
      <c r="D108" s="97" t="s">
        <v>211</v>
      </c>
    </row>
    <row r="109" spans="2:13" s="97" customFormat="1" ht="18" hidden="1" customHeight="1" x14ac:dyDescent="0.35">
      <c r="C109" s="97" t="s">
        <v>200</v>
      </c>
      <c r="D109" s="97" t="s">
        <v>212</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 customHeight="1" x14ac:dyDescent="0.35"/>
    <row r="116" spans="2:13" s="75" customFormat="1" ht="15" customHeight="1" x14ac:dyDescent="0.35"/>
    <row r="117" spans="2:13" s="75" customFormat="1" ht="15" customHeight="1" x14ac:dyDescent="0.35">
      <c r="J117" s="75" t="str">
        <f>J23</f>
        <v>Pontianak,</v>
      </c>
    </row>
    <row r="118" spans="2:13" s="75" customFormat="1" ht="15.65" customHeight="1" x14ac:dyDescent="0.35">
      <c r="J118" s="93" t="str">
        <f>J78</f>
        <v>Yang Melakukan Perjalanan Dinas,</v>
      </c>
    </row>
    <row r="119" spans="2:13" s="75" customFormat="1" ht="15" customHeight="1" x14ac:dyDescent="0.35"/>
    <row r="120" spans="2:13" s="75" customFormat="1" ht="15" customHeight="1" x14ac:dyDescent="0.35"/>
    <row r="121" spans="2:13" s="75" customFormat="1" ht="15" customHeight="1" x14ac:dyDescent="0.35"/>
    <row r="122" spans="2:13" s="75" customFormat="1" ht="15" customHeight="1" x14ac:dyDescent="0.35"/>
    <row r="123" spans="2:13" s="75" customFormat="1" ht="15.65" customHeight="1" x14ac:dyDescent="0.35">
      <c r="J123" s="93" t="str">
        <f>J31</f>
        <v>WAWAN LASMAWAN</v>
      </c>
    </row>
    <row r="124" spans="2:13" s="75" customFormat="1" ht="15.65" customHeight="1" x14ac:dyDescent="0.35">
      <c r="J124" s="93" t="s">
        <v>151</v>
      </c>
      <c r="K124" s="93">
        <f>K32</f>
        <v>0</v>
      </c>
    </row>
  </sheetData>
  <mergeCells count="54">
    <mergeCell ref="N13:O13"/>
    <mergeCell ref="C110:M110"/>
    <mergeCell ref="B9:I9"/>
    <mergeCell ref="J27:M27"/>
    <mergeCell ref="C106:M106"/>
    <mergeCell ref="D91:M91"/>
    <mergeCell ref="A21:M21"/>
    <mergeCell ref="D87:M87"/>
    <mergeCell ref="C60:F60"/>
    <mergeCell ref="L70:M70"/>
    <mergeCell ref="L14:M14"/>
    <mergeCell ref="D90:M90"/>
    <mergeCell ref="D66:E66"/>
    <mergeCell ref="D92:M92"/>
    <mergeCell ref="C107:M107"/>
    <mergeCell ref="D73:M73"/>
    <mergeCell ref="C114:M114"/>
    <mergeCell ref="C32:H32"/>
    <mergeCell ref="C105:M105"/>
    <mergeCell ref="A1:M1"/>
    <mergeCell ref="B27:H27"/>
    <mergeCell ref="J25:K25"/>
    <mergeCell ref="H37:I37"/>
    <mergeCell ref="C10:I10"/>
    <mergeCell ref="K2:M2"/>
    <mergeCell ref="A93:M93"/>
    <mergeCell ref="D64:E65"/>
    <mergeCell ref="D88:M88"/>
    <mergeCell ref="L15:M15"/>
    <mergeCell ref="L18:M18"/>
    <mergeCell ref="L71:M71"/>
    <mergeCell ref="B25:E25"/>
    <mergeCell ref="A96:M96"/>
    <mergeCell ref="D89:M89"/>
    <mergeCell ref="H39:I39"/>
    <mergeCell ref="G6:I6"/>
    <mergeCell ref="L67:M67"/>
    <mergeCell ref="L16:M16"/>
    <mergeCell ref="A35:M35"/>
    <mergeCell ref="L8:M8"/>
    <mergeCell ref="B8:I8"/>
    <mergeCell ref="A20:I20"/>
    <mergeCell ref="A51:M51"/>
    <mergeCell ref="B31:H31"/>
    <mergeCell ref="L19:M19"/>
    <mergeCell ref="A4:M4"/>
    <mergeCell ref="L13:M13"/>
    <mergeCell ref="B12:I12"/>
    <mergeCell ref="D69:E69"/>
    <mergeCell ref="L17:M17"/>
    <mergeCell ref="F64:K65"/>
    <mergeCell ref="L64:M65"/>
    <mergeCell ref="K32:M32"/>
    <mergeCell ref="H38:I38"/>
  </mergeCells>
  <hyperlinks>
    <hyperlink ref="A1" location="'MENU'!A1" display="&lt;&lt; MENU" xr:uid="{00000000-0004-0000-0600-000000000000}"/>
  </hyperlinks>
  <pageMargins left="0.39370078740157483" right="0.39370078740157483" top="0.74803149606299213" bottom="0.74803149606299213" header="0.31496062992125978" footer="0.31496062992125978"/>
  <pageSetup paperSize="9" scale="84" orientation="portrait" horizontalDpi="360" verticalDpi="360" r:id="rId1"/>
  <rowBreaks count="2" manualBreakCount="2">
    <brk id="48" max="12" man="1"/>
    <brk id="85" max="12" man="1"/>
  </rowBreaks>
  <colBreaks count="1" manualBreakCount="1">
    <brk id="13" max="44"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S121"/>
  <sheetViews>
    <sheetView view="pageBreakPreview" topLeftCell="A59" zoomScale="90" zoomScaleNormal="100" zoomScaleSheetLayoutView="90" workbookViewId="0">
      <selection activeCell="D83" sqref="D83"/>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Disini'!G15</f>
        <v>WIM.16.IMI.1-KU.03.01-2442</v>
      </c>
      <c r="H5" s="24"/>
      <c r="I5" s="24"/>
      <c r="J5" s="24"/>
      <c r="K5" s="24"/>
      <c r="L5" s="24"/>
      <c r="M5" s="24"/>
      <c r="N5" s="24"/>
      <c r="O5" s="24"/>
    </row>
    <row r="6" spans="1:19" x14ac:dyDescent="0.35">
      <c r="A6" s="24" t="s">
        <v>110</v>
      </c>
      <c r="B6" s="24"/>
      <c r="C6" s="24"/>
      <c r="D6" s="24"/>
      <c r="E6" s="24"/>
      <c r="F6" s="69" t="s">
        <v>105</v>
      </c>
      <c r="G6" s="327">
        <f>'Isi Disini'!H15</f>
        <v>46170</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f>Nominatif!C15</f>
        <v>0</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Nominatif!K15</f>
        <v>3032210.333333333</v>
      </c>
      <c r="L13" s="311"/>
      <c r="M13" s="236"/>
      <c r="N13" s="24"/>
      <c r="O13" s="24"/>
      <c r="P13" s="106" t="s">
        <v>88</v>
      </c>
    </row>
    <row r="14" spans="1:19" ht="15" customHeight="1" x14ac:dyDescent="0.35">
      <c r="A14" s="33"/>
      <c r="B14" s="38"/>
      <c r="C14" s="39" t="str">
        <f>'Isi Disini'!M15</f>
        <v>Batik Air (PNK - CGK)</v>
      </c>
      <c r="D14" s="40"/>
      <c r="E14" s="40"/>
      <c r="F14" s="40"/>
      <c r="G14" s="41"/>
      <c r="H14" s="40"/>
      <c r="I14" s="66">
        <f>'Isi Disini'!N15</f>
        <v>1550263</v>
      </c>
      <c r="J14" s="66"/>
      <c r="K14" s="65"/>
      <c r="L14" s="311" t="s">
        <v>165</v>
      </c>
      <c r="M14" s="236"/>
      <c r="N14" s="24"/>
      <c r="O14" s="24"/>
    </row>
    <row r="15" spans="1:19" ht="15" customHeight="1" x14ac:dyDescent="0.35">
      <c r="A15" s="33"/>
      <c r="B15" s="38"/>
      <c r="C15" s="39" t="str">
        <f>'Isi Disini'!O15</f>
        <v>Citilink (CGK - PNK)</v>
      </c>
      <c r="D15" s="40"/>
      <c r="E15" s="40"/>
      <c r="F15" s="40"/>
      <c r="G15" s="41"/>
      <c r="H15" s="40"/>
      <c r="I15" s="66">
        <f>'Isi Disini'!P15</f>
        <v>1481947.3333333333</v>
      </c>
      <c r="J15" s="66"/>
      <c r="K15" s="65"/>
      <c r="L15" s="311" t="s">
        <v>165</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Disini'!L15</f>
        <v>530000</v>
      </c>
      <c r="J16" s="66"/>
      <c r="K16" s="65">
        <f>G16*I16</f>
        <v>530000</v>
      </c>
      <c r="L16" s="311" t="s">
        <v>166</v>
      </c>
      <c r="M16" s="236"/>
      <c r="N16" s="24"/>
      <c r="O16" s="24"/>
    </row>
    <row r="17" spans="1:15" ht="15" customHeight="1" x14ac:dyDescent="0.35">
      <c r="A17" s="33"/>
      <c r="B17" s="38" t="s">
        <v>80</v>
      </c>
      <c r="C17" s="39" t="s">
        <v>167</v>
      </c>
      <c r="D17" s="40"/>
      <c r="E17" s="40"/>
      <c r="F17" s="40"/>
      <c r="G17" s="41"/>
      <c r="H17" s="40"/>
      <c r="I17" s="66"/>
      <c r="J17" s="66"/>
      <c r="K17" s="172">
        <f>Nominatif!P15</f>
        <v>1460000</v>
      </c>
      <c r="L17" s="311" t="s">
        <v>165</v>
      </c>
      <c r="M17" s="236"/>
      <c r="N17" s="24"/>
      <c r="O17" s="24"/>
    </row>
    <row r="18" spans="1:15" ht="15" customHeight="1" x14ac:dyDescent="0.35">
      <c r="A18" s="33"/>
      <c r="B18" s="38" t="s">
        <v>80</v>
      </c>
      <c r="C18" s="39" t="s">
        <v>168</v>
      </c>
      <c r="D18" s="40"/>
      <c r="E18" s="40"/>
      <c r="F18" s="40"/>
      <c r="G18" s="41"/>
      <c r="H18" s="40"/>
      <c r="I18" s="66"/>
      <c r="J18" s="66"/>
      <c r="K18" s="65">
        <f>SUM(Nominatif!L15:M15)</f>
        <v>520000</v>
      </c>
      <c r="L18" s="311" t="s">
        <v>165</v>
      </c>
      <c r="M18" s="236"/>
      <c r="N18" s="24"/>
      <c r="O18" s="24"/>
    </row>
    <row r="19" spans="1:15" ht="15" customHeight="1" x14ac:dyDescent="0.35">
      <c r="A19" s="33"/>
      <c r="B19" s="38" t="s">
        <v>80</v>
      </c>
      <c r="C19" s="54" t="s">
        <v>169</v>
      </c>
      <c r="D19" s="40"/>
      <c r="E19" s="40"/>
      <c r="F19" s="40"/>
      <c r="G19" s="41"/>
      <c r="H19" s="40"/>
      <c r="I19" s="66"/>
      <c r="J19" s="66"/>
      <c r="K19" s="65">
        <f>Nominatif!N15</f>
        <v>0</v>
      </c>
      <c r="L19" s="311" t="s">
        <v>166</v>
      </c>
      <c r="M19" s="236"/>
      <c r="N19" s="24"/>
      <c r="O19" s="24"/>
    </row>
    <row r="20" spans="1:15" ht="15" customHeight="1" thickBot="1" x14ac:dyDescent="0.4">
      <c r="A20" s="313" t="s">
        <v>118</v>
      </c>
      <c r="B20" s="258"/>
      <c r="C20" s="258"/>
      <c r="D20" s="258"/>
      <c r="E20" s="258"/>
      <c r="F20" s="258"/>
      <c r="G20" s="258"/>
      <c r="H20" s="258"/>
      <c r="I20" s="232"/>
      <c r="J20" s="60"/>
      <c r="K20" s="181">
        <f>SUM(K9:K19)</f>
        <v>5542210.333333333</v>
      </c>
      <c r="L20" s="44"/>
      <c r="M20" s="45"/>
    </row>
    <row r="21" spans="1:15" ht="15" customHeight="1" thickBot="1" x14ac:dyDescent="0.4">
      <c r="A21" s="334" t="s">
        <v>214</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f>K20</f>
        <v>5542210.333333333</v>
      </c>
      <c r="C25" s="285"/>
      <c r="D25" s="285"/>
      <c r="E25" s="285"/>
      <c r="F25" s="47"/>
      <c r="G25" s="47"/>
      <c r="H25" s="47"/>
      <c r="I25" s="46"/>
      <c r="J25" s="321">
        <f>K20</f>
        <v>5542210.333333333</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319" t="s">
        <v>154</v>
      </c>
      <c r="C31" s="285"/>
      <c r="D31" s="285"/>
      <c r="E31" s="285"/>
      <c r="F31" s="285"/>
      <c r="G31" s="285"/>
      <c r="H31" s="285"/>
      <c r="I31" s="24"/>
      <c r="J31" s="25">
        <f>C10</f>
        <v>0</v>
      </c>
      <c r="K31" s="70"/>
      <c r="L31" s="70"/>
      <c r="M31" s="70"/>
    </row>
    <row r="32" spans="1:15" x14ac:dyDescent="0.35">
      <c r="A32" s="24"/>
      <c r="B32" s="25" t="s">
        <v>174</v>
      </c>
      <c r="C32" s="335" t="s">
        <v>175</v>
      </c>
      <c r="D32" s="285"/>
      <c r="E32" s="285"/>
      <c r="F32" s="285"/>
      <c r="G32" s="285"/>
      <c r="H32" s="285"/>
      <c r="I32" s="24"/>
      <c r="J32" s="25" t="str">
        <f>"NIP. "&amp;_xlfn.XLOOKUP('Isi Disini'!W44,'nama pegawai'!B:B,'nama pegawai'!C:C,"")</f>
        <v>NIP. 19840124 200212 1 002</v>
      </c>
      <c r="K32" s="319">
        <f>'Isi Disini'!C16</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f>K20</f>
        <v>5542210.333333333</v>
      </c>
      <c r="I37" s="285"/>
      <c r="J37" s="47"/>
      <c r="K37" s="24"/>
      <c r="L37" s="24"/>
      <c r="M37" s="24"/>
    </row>
    <row r="38" spans="1:14" x14ac:dyDescent="0.35">
      <c r="A38" s="24" t="s">
        <v>178</v>
      </c>
      <c r="B38" s="24"/>
      <c r="C38" s="24"/>
      <c r="D38" s="24"/>
      <c r="E38" s="24"/>
      <c r="F38" s="24"/>
      <c r="G38" s="51" t="s">
        <v>105</v>
      </c>
      <c r="H38" s="332">
        <f>B25</f>
        <v>5542210.333333333</v>
      </c>
      <c r="I38" s="285"/>
      <c r="J38" s="52"/>
      <c r="K38" s="24"/>
      <c r="L38" s="24"/>
      <c r="M38" s="24"/>
      <c r="N38" s="68" t="s">
        <v>88</v>
      </c>
    </row>
    <row r="39" spans="1:14" x14ac:dyDescent="0.35">
      <c r="A39" s="24" t="s">
        <v>179</v>
      </c>
      <c r="B39" s="24"/>
      <c r="C39" s="24"/>
      <c r="D39" s="24"/>
      <c r="E39" s="24"/>
      <c r="F39" s="24"/>
      <c r="G39" s="51" t="s">
        <v>105</v>
      </c>
      <c r="H39" s="306">
        <f>H37-H38</f>
        <v>0</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f>C10</f>
        <v>0</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Disini'!E15</f>
        <v>0</v>
      </c>
    </row>
    <row r="58" spans="1:13" s="75" customFormat="1" ht="15" customHeight="1" x14ac:dyDescent="0.35"/>
    <row r="59" spans="1:13" s="75" customFormat="1" ht="15" customHeight="1" x14ac:dyDescent="0.35">
      <c r="C59" s="75" t="s">
        <v>183</v>
      </c>
      <c r="J59" s="75" t="str">
        <f>G5</f>
        <v>WIM.16.IMI.1-KU.03.01-2442</v>
      </c>
      <c r="M59" s="75" t="s">
        <v>184</v>
      </c>
    </row>
    <row r="60" spans="1:13" s="75" customFormat="1" ht="15" customHeight="1" x14ac:dyDescent="0.35">
      <c r="C60" s="331">
        <f>G6</f>
        <v>46170</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Disini'!J15</f>
        <v>1</v>
      </c>
      <c r="G67" s="83" t="e">
        <f ca="1">PROPER([1]!terbilang(F67)) &amp; " hari x"</f>
        <v>#NAME?</v>
      </c>
      <c r="I67" s="84">
        <f>'Isi Disini'!L15</f>
        <v>530000</v>
      </c>
      <c r="K67" s="85"/>
      <c r="L67" s="310">
        <f>F67*I67</f>
        <v>530000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Disini'!J15</f>
        <v>1</v>
      </c>
      <c r="G70" s="83" t="e">
        <f ca="1">PROPER([1]!terbilang(F67)) &amp; " hari x"</f>
        <v>#NAME?</v>
      </c>
      <c r="I70" s="84">
        <f>'Isi Disini'!T15</f>
        <v>0</v>
      </c>
      <c r="K70" s="85"/>
      <c r="L70" s="310">
        <f>F70*I70</f>
        <v>0</v>
      </c>
      <c r="M70" s="236"/>
    </row>
    <row r="71" spans="3:13" s="75" customFormat="1" ht="15.65" customHeight="1" x14ac:dyDescent="0.35">
      <c r="D71" s="88"/>
      <c r="E71" s="89"/>
      <c r="F71" s="90" t="s">
        <v>118</v>
      </c>
      <c r="G71" s="91"/>
      <c r="H71" s="91"/>
      <c r="I71" s="91"/>
      <c r="J71" s="91"/>
      <c r="K71" s="91"/>
      <c r="L71" s="307">
        <f>L67+L70</f>
        <v>530000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0" t="s">
        <v>149</v>
      </c>
      <c r="E83" s="25"/>
      <c r="F83" s="25"/>
      <c r="J83" s="93">
        <f>J31</f>
        <v>0</v>
      </c>
    </row>
    <row r="84" spans="1:13" s="75" customFormat="1" ht="15.65" customHeight="1" x14ac:dyDescent="0.35">
      <c r="D84" s="110" t="s">
        <v>150</v>
      </c>
      <c r="E84" s="71" t="s">
        <v>181</v>
      </c>
      <c r="F84" s="25"/>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8" s="24" customFormat="1" ht="13.75" customHeight="1" x14ac:dyDescent="0.3">
      <c r="B98" s="24" t="s">
        <v>182</v>
      </c>
    </row>
    <row r="99" spans="2:18" s="24" customFormat="1" ht="13.75" customHeight="1" x14ac:dyDescent="0.3"/>
    <row r="100" spans="2:18" s="24" customFormat="1" ht="13.75" customHeight="1" x14ac:dyDescent="0.3">
      <c r="B100" s="24" t="s">
        <v>45</v>
      </c>
      <c r="D100" s="69" t="s">
        <v>105</v>
      </c>
      <c r="E100" s="24">
        <f>F55</f>
        <v>0</v>
      </c>
    </row>
    <row r="101" spans="2:18" s="24" customFormat="1" ht="13.75" customHeight="1" x14ac:dyDescent="0.3">
      <c r="B101" s="24" t="s">
        <v>106</v>
      </c>
      <c r="D101" s="69" t="s">
        <v>105</v>
      </c>
      <c r="E101" s="24">
        <f>F56</f>
        <v>0</v>
      </c>
    </row>
    <row r="102" spans="2:18" s="24" customFormat="1" ht="13.75" customHeight="1" x14ac:dyDescent="0.3">
      <c r="B102" s="24" t="s">
        <v>47</v>
      </c>
      <c r="D102" s="69" t="s">
        <v>105</v>
      </c>
      <c r="E102" s="24">
        <f>F57</f>
        <v>0</v>
      </c>
    </row>
    <row r="103" spans="2:18" s="24" customFormat="1" ht="13.75" customHeight="1" x14ac:dyDescent="0.3"/>
    <row r="104" spans="2:18" s="75" customFormat="1" ht="15" customHeight="1" x14ac:dyDescent="0.35">
      <c r="B104" s="75" t="s">
        <v>194</v>
      </c>
    </row>
    <row r="105" spans="2:18" s="97" customFormat="1" ht="62.25"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c r="R105" s="97" t="s">
        <v>88</v>
      </c>
    </row>
    <row r="106" spans="2:18" s="97" customFormat="1" ht="33" customHeight="1" x14ac:dyDescent="0.35">
      <c r="B106" s="96" t="s">
        <v>140</v>
      </c>
      <c r="C106" s="302" t="s">
        <v>195</v>
      </c>
      <c r="D106" s="303"/>
      <c r="E106" s="303"/>
      <c r="F106" s="303"/>
      <c r="G106" s="303"/>
      <c r="H106" s="303"/>
      <c r="I106" s="303"/>
      <c r="J106" s="303"/>
      <c r="K106" s="303"/>
      <c r="L106" s="303"/>
      <c r="M106" s="303"/>
    </row>
    <row r="107" spans="2:18" s="97" customFormat="1" ht="23.25" hidden="1" customHeight="1" x14ac:dyDescent="0.35">
      <c r="B107" s="96" t="s">
        <v>196</v>
      </c>
      <c r="C107" s="302" t="s">
        <v>197</v>
      </c>
      <c r="D107" s="303"/>
      <c r="E107" s="303"/>
      <c r="F107" s="303"/>
      <c r="G107" s="303"/>
      <c r="H107" s="303"/>
      <c r="I107" s="303"/>
      <c r="J107" s="303"/>
      <c r="K107" s="303"/>
      <c r="L107" s="303"/>
      <c r="M107" s="303"/>
    </row>
    <row r="108" spans="2:18" s="97" customFormat="1" ht="15" hidden="1" customHeight="1" x14ac:dyDescent="0.35">
      <c r="C108" s="97" t="s">
        <v>198</v>
      </c>
      <c r="D108" s="97" t="s">
        <v>199</v>
      </c>
    </row>
    <row r="109" spans="2:18" s="97" customFormat="1" ht="18" hidden="1" customHeight="1" x14ac:dyDescent="0.35">
      <c r="C109" s="97" t="s">
        <v>200</v>
      </c>
      <c r="D109" s="97" t="s">
        <v>201</v>
      </c>
    </row>
    <row r="110" spans="2:18" s="97" customFormat="1" ht="30.75" customHeight="1" x14ac:dyDescent="0.35">
      <c r="B110" s="96" t="s">
        <v>196</v>
      </c>
      <c r="C110" s="302" t="s">
        <v>202</v>
      </c>
      <c r="D110" s="303"/>
      <c r="E110" s="303"/>
      <c r="F110" s="303"/>
      <c r="G110" s="303"/>
      <c r="H110" s="303"/>
      <c r="I110" s="303"/>
      <c r="J110" s="303"/>
      <c r="K110" s="303"/>
      <c r="L110" s="303"/>
      <c r="M110" s="303"/>
    </row>
    <row r="111" spans="2:18" s="97" customFormat="1" ht="15" customHeight="1" x14ac:dyDescent="0.35">
      <c r="C111" s="97" t="s">
        <v>198</v>
      </c>
      <c r="D111" s="97" t="s">
        <v>203</v>
      </c>
    </row>
    <row r="112" spans="2:18"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65" customHeight="1" x14ac:dyDescent="0.35">
      <c r="J115" s="93" t="str">
        <f>J78</f>
        <v>Yang Melakukan Perjalanan Dinas,</v>
      </c>
    </row>
    <row r="116" spans="2:13" s="75" customFormat="1" ht="15" customHeight="1" x14ac:dyDescent="0.35"/>
    <row r="117" spans="2:13" s="75" customFormat="1" ht="15" customHeight="1" x14ac:dyDescent="0.35"/>
    <row r="118" spans="2:13" s="75" customFormat="1" ht="15" customHeight="1" x14ac:dyDescent="0.35"/>
    <row r="119" spans="2:13" s="75" customFormat="1" ht="15" customHeight="1" x14ac:dyDescent="0.35"/>
    <row r="120" spans="2:13" s="75" customFormat="1" ht="15.65" customHeight="1" x14ac:dyDescent="0.35">
      <c r="J120" s="93">
        <f>J31</f>
        <v>0</v>
      </c>
    </row>
    <row r="121" spans="2:13" s="75" customFormat="1" ht="15.65" customHeight="1" x14ac:dyDescent="0.35">
      <c r="J121" s="93" t="s">
        <v>151</v>
      </c>
      <c r="K121" s="93">
        <f>K32</f>
        <v>0</v>
      </c>
    </row>
  </sheetData>
  <mergeCells count="53">
    <mergeCell ref="C114:M114"/>
    <mergeCell ref="C32:H32"/>
    <mergeCell ref="C105:M105"/>
    <mergeCell ref="A1:M1"/>
    <mergeCell ref="B27:H27"/>
    <mergeCell ref="J25:K25"/>
    <mergeCell ref="H37:I37"/>
    <mergeCell ref="C10:I10"/>
    <mergeCell ref="C110:M110"/>
    <mergeCell ref="J27:M27"/>
    <mergeCell ref="B9:I9"/>
    <mergeCell ref="C106:M106"/>
    <mergeCell ref="D91:M91"/>
    <mergeCell ref="A21:M21"/>
    <mergeCell ref="D87:M87"/>
    <mergeCell ref="C60:F60"/>
    <mergeCell ref="K2:M2"/>
    <mergeCell ref="A93:M93"/>
    <mergeCell ref="D88:M88"/>
    <mergeCell ref="D64:E65"/>
    <mergeCell ref="L18:M18"/>
    <mergeCell ref="L71:M71"/>
    <mergeCell ref="L15:M15"/>
    <mergeCell ref="B25:E25"/>
    <mergeCell ref="D66:E66"/>
    <mergeCell ref="L8:M8"/>
    <mergeCell ref="B8:I8"/>
    <mergeCell ref="A51:M51"/>
    <mergeCell ref="A20:I20"/>
    <mergeCell ref="B31:H31"/>
    <mergeCell ref="D90:M90"/>
    <mergeCell ref="L14:M14"/>
    <mergeCell ref="A4:M4"/>
    <mergeCell ref="C107:M107"/>
    <mergeCell ref="L19:M19"/>
    <mergeCell ref="D73:M73"/>
    <mergeCell ref="A96:M96"/>
    <mergeCell ref="L13:M13"/>
    <mergeCell ref="D89:M89"/>
    <mergeCell ref="B12:I12"/>
    <mergeCell ref="H39:I39"/>
    <mergeCell ref="L70:M70"/>
    <mergeCell ref="G6:I6"/>
    <mergeCell ref="L67:M67"/>
    <mergeCell ref="L16:M16"/>
    <mergeCell ref="A35:M35"/>
    <mergeCell ref="D92:M92"/>
    <mergeCell ref="D69:E69"/>
    <mergeCell ref="L17:M17"/>
    <mergeCell ref="F64:K65"/>
    <mergeCell ref="L64:M65"/>
    <mergeCell ref="K32:M32"/>
    <mergeCell ref="H38:I38"/>
  </mergeCells>
  <hyperlinks>
    <hyperlink ref="A1" location="'MENU'!A1" display="&lt;&lt; MENU" xr:uid="{00000000-0004-0000-0700-000000000000}"/>
  </hyperlinks>
  <pageMargins left="0.39370078740157483" right="0.39370078740157483" top="0.74803149606299213" bottom="0.74803149606299213" header="0.31496062992125978" footer="0.31496062992125978"/>
  <pageSetup paperSize="9" scale="84"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S121"/>
  <sheetViews>
    <sheetView view="pageBreakPreview" zoomScale="90" zoomScaleNormal="100" zoomScaleSheetLayoutView="90" workbookViewId="0">
      <selection sqref="A1:M1"/>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Disini'!G17</f>
        <v>WIM.16.IMI.1-KU.03.01-2178</v>
      </c>
      <c r="H5" s="24"/>
      <c r="I5" s="24"/>
      <c r="J5" s="24"/>
      <c r="K5" s="24"/>
      <c r="L5" s="24"/>
      <c r="M5" s="24"/>
      <c r="N5" s="24"/>
      <c r="O5" s="24"/>
    </row>
    <row r="6" spans="1:19" x14ac:dyDescent="0.35">
      <c r="A6" s="24" t="s">
        <v>110</v>
      </c>
      <c r="B6" s="24"/>
      <c r="C6" s="24"/>
      <c r="D6" s="24"/>
      <c r="E6" s="24"/>
      <c r="F6" s="69" t="s">
        <v>105</v>
      </c>
      <c r="G6" s="327">
        <f>'Isi Disini'!H17</f>
        <v>46170</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e">
        <f>Nominatif!#REF!</f>
        <v>#REF!</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t="e">
        <f>Nominatif!#REF!</f>
        <v>#REF!</v>
      </c>
      <c r="L13" s="311"/>
      <c r="M13" s="236"/>
      <c r="N13" s="24"/>
      <c r="O13" s="24"/>
    </row>
    <row r="14" spans="1:19" ht="15" customHeight="1" x14ac:dyDescent="0.35">
      <c r="A14" s="33"/>
      <c r="B14" s="38"/>
      <c r="C14" s="39" t="str">
        <f>'Isi Disini'!M17</f>
        <v>Super Air Jet (PNK - CGK)</v>
      </c>
      <c r="D14" s="40"/>
      <c r="E14" s="40"/>
      <c r="F14" s="40"/>
      <c r="G14" s="41"/>
      <c r="H14" s="40"/>
      <c r="I14" s="66">
        <f>'Isi Disini'!N17</f>
        <v>0</v>
      </c>
      <c r="J14" s="66"/>
      <c r="K14" s="65"/>
      <c r="L14" s="311" t="s">
        <v>165</v>
      </c>
      <c r="M14" s="236"/>
      <c r="N14" s="24"/>
      <c r="O14" s="24"/>
    </row>
    <row r="15" spans="1:19" ht="15" customHeight="1" x14ac:dyDescent="0.35">
      <c r="A15" s="33"/>
      <c r="B15" s="38"/>
      <c r="C15" s="39" t="str">
        <f>'Isi Disini'!O17</f>
        <v>Citilink (CGK - PNK)</v>
      </c>
      <c r="D15" s="40"/>
      <c r="E15" s="40"/>
      <c r="F15" s="40"/>
      <c r="G15" s="41"/>
      <c r="H15" s="40"/>
      <c r="I15" s="66">
        <f>'Isi Disini'!P17</f>
        <v>0</v>
      </c>
      <c r="J15" s="66"/>
      <c r="K15" s="65"/>
      <c r="L15" s="311" t="s">
        <v>165</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Disini'!L17</f>
        <v>530000</v>
      </c>
      <c r="J16" s="66"/>
      <c r="K16" s="65">
        <f>G16*I16</f>
        <v>530000</v>
      </c>
      <c r="L16" s="311" t="s">
        <v>166</v>
      </c>
      <c r="M16" s="236"/>
      <c r="N16" s="24"/>
      <c r="O16" s="24"/>
    </row>
    <row r="17" spans="1:16" ht="15" customHeight="1" x14ac:dyDescent="0.35">
      <c r="A17" s="33"/>
      <c r="B17" s="38" t="s">
        <v>80</v>
      </c>
      <c r="C17" s="39" t="s">
        <v>167</v>
      </c>
      <c r="D17" s="40"/>
      <c r="E17" s="40"/>
      <c r="F17" s="40"/>
      <c r="G17" s="41"/>
      <c r="H17" s="40"/>
      <c r="I17" s="66"/>
      <c r="J17" s="66"/>
      <c r="K17" s="172" t="e">
        <f>Nominatif!#REF!</f>
        <v>#REF!</v>
      </c>
      <c r="L17" s="311" t="s">
        <v>166</v>
      </c>
      <c r="M17" s="236"/>
      <c r="N17" s="24"/>
      <c r="O17" s="24"/>
    </row>
    <row r="18" spans="1:16" ht="15" customHeight="1" x14ac:dyDescent="0.35">
      <c r="A18" s="33"/>
      <c r="B18" s="38" t="s">
        <v>80</v>
      </c>
      <c r="C18" s="39" t="s">
        <v>168</v>
      </c>
      <c r="D18" s="40"/>
      <c r="E18" s="40"/>
      <c r="F18" s="40"/>
      <c r="G18" s="41"/>
      <c r="H18" s="40"/>
      <c r="I18" s="66"/>
      <c r="J18" s="66"/>
      <c r="K18" s="65" t="e">
        <f>Nominatif!#REF!</f>
        <v>#REF!</v>
      </c>
      <c r="L18" s="311" t="s">
        <v>165</v>
      </c>
      <c r="M18" s="236"/>
      <c r="N18" s="24"/>
      <c r="O18" s="24"/>
    </row>
    <row r="19" spans="1:16" ht="15" customHeight="1" x14ac:dyDescent="0.35">
      <c r="A19" s="33"/>
      <c r="B19" s="38" t="s">
        <v>80</v>
      </c>
      <c r="C19" s="54" t="s">
        <v>169</v>
      </c>
      <c r="D19" s="40"/>
      <c r="E19" s="40"/>
      <c r="F19" s="40"/>
      <c r="G19" s="41"/>
      <c r="H19" s="40"/>
      <c r="I19" s="66"/>
      <c r="J19" s="66"/>
      <c r="K19" s="65" t="e">
        <f>Nominatif!#REF!</f>
        <v>#REF!</v>
      </c>
      <c r="L19" s="311" t="s">
        <v>166</v>
      </c>
      <c r="M19" s="236"/>
      <c r="N19" s="24"/>
      <c r="O19" s="24"/>
    </row>
    <row r="20" spans="1:16" ht="15" customHeight="1" thickBot="1" x14ac:dyDescent="0.4">
      <c r="A20" s="313" t="s">
        <v>118</v>
      </c>
      <c r="B20" s="258"/>
      <c r="C20" s="258"/>
      <c r="D20" s="258"/>
      <c r="E20" s="258"/>
      <c r="F20" s="258"/>
      <c r="G20" s="258"/>
      <c r="H20" s="258"/>
      <c r="I20" s="232"/>
      <c r="J20" s="60"/>
      <c r="K20" s="43" t="e">
        <f>SUM(K9:K19)</f>
        <v>#REF!</v>
      </c>
      <c r="L20" s="44"/>
      <c r="M20" s="45"/>
    </row>
    <row r="21" spans="1:16" ht="15" customHeight="1" thickBot="1" x14ac:dyDescent="0.4">
      <c r="A21" s="334" t="e">
        <f ca="1">PROPER([1]!terbilang(K20)&amp;" rupiah")</f>
        <v>#NAME?</v>
      </c>
      <c r="B21" s="276"/>
      <c r="C21" s="276"/>
      <c r="D21" s="276"/>
      <c r="E21" s="276"/>
      <c r="F21" s="276"/>
      <c r="G21" s="276"/>
      <c r="H21" s="276"/>
      <c r="I21" s="276"/>
      <c r="J21" s="276"/>
      <c r="K21" s="276"/>
      <c r="L21" s="276"/>
      <c r="M21" s="330"/>
    </row>
    <row r="22" spans="1:16" x14ac:dyDescent="0.35">
      <c r="A22" s="24"/>
      <c r="B22" s="24"/>
      <c r="C22" s="24"/>
      <c r="D22" s="24"/>
      <c r="E22" s="24"/>
      <c r="F22" s="24"/>
      <c r="G22" s="24"/>
      <c r="H22" s="24"/>
      <c r="I22" s="24"/>
      <c r="J22" s="24"/>
      <c r="K22" s="46"/>
      <c r="L22" s="24"/>
      <c r="M22" s="24"/>
    </row>
    <row r="23" spans="1:16" x14ac:dyDescent="0.35">
      <c r="A23" s="24"/>
      <c r="B23" s="24"/>
      <c r="C23" s="24"/>
      <c r="D23" s="24"/>
      <c r="E23" s="24"/>
      <c r="F23" s="24"/>
      <c r="G23" s="24"/>
      <c r="H23" s="24"/>
      <c r="I23" s="24"/>
      <c r="J23" s="24" t="str">
        <f>Nominatif!Q19</f>
        <v>Pontianak,</v>
      </c>
      <c r="K23" s="24"/>
      <c r="L23" s="24"/>
      <c r="M23" s="24"/>
      <c r="P23" s="167" t="s">
        <v>88</v>
      </c>
    </row>
    <row r="24" spans="1:16" x14ac:dyDescent="0.35">
      <c r="A24" s="24"/>
      <c r="B24" s="24" t="s">
        <v>171</v>
      </c>
      <c r="C24" s="24"/>
      <c r="D24" s="24"/>
      <c r="E24" s="24"/>
      <c r="F24" s="24"/>
      <c r="G24" s="24"/>
      <c r="H24" s="24"/>
      <c r="I24" s="24"/>
      <c r="J24" s="24" t="s">
        <v>172</v>
      </c>
      <c r="K24" s="24"/>
      <c r="L24" s="24"/>
      <c r="M24" s="24"/>
    </row>
    <row r="25" spans="1:16" x14ac:dyDescent="0.35">
      <c r="A25" s="24"/>
      <c r="B25" s="321" t="e">
        <f>K20</f>
        <v>#REF!</v>
      </c>
      <c r="C25" s="285"/>
      <c r="D25" s="285"/>
      <c r="E25" s="285"/>
      <c r="F25" s="47"/>
      <c r="G25" s="47"/>
      <c r="H25" s="47"/>
      <c r="I25" s="46"/>
      <c r="J25" s="321" t="e">
        <f>K20</f>
        <v>#REF!</v>
      </c>
      <c r="K25" s="285"/>
      <c r="L25" s="24"/>
      <c r="M25" s="24"/>
    </row>
    <row r="26" spans="1:16" x14ac:dyDescent="0.35">
      <c r="A26" s="24"/>
      <c r="B26" s="24"/>
      <c r="C26" s="24"/>
      <c r="D26" s="24"/>
      <c r="E26" s="24"/>
      <c r="F26" s="24"/>
      <c r="G26" s="24"/>
      <c r="H26" s="24"/>
      <c r="I26" s="24"/>
      <c r="J26" s="24"/>
      <c r="K26" s="24"/>
      <c r="L26" s="24"/>
      <c r="M26" s="24"/>
    </row>
    <row r="27" spans="1:16" x14ac:dyDescent="0.35">
      <c r="A27" s="24"/>
      <c r="B27" s="319" t="s">
        <v>89</v>
      </c>
      <c r="C27" s="285"/>
      <c r="D27" s="285"/>
      <c r="E27" s="285"/>
      <c r="F27" s="285"/>
      <c r="G27" s="285"/>
      <c r="H27" s="285"/>
      <c r="I27" s="24"/>
      <c r="J27" s="319" t="s">
        <v>173</v>
      </c>
      <c r="K27" s="285"/>
      <c r="L27" s="285"/>
      <c r="M27" s="285"/>
    </row>
    <row r="28" spans="1:16" x14ac:dyDescent="0.35">
      <c r="A28" s="24"/>
      <c r="B28" s="48"/>
      <c r="C28" s="48"/>
      <c r="D28" s="48"/>
      <c r="E28" s="48"/>
      <c r="F28" s="48"/>
      <c r="G28" s="48"/>
      <c r="H28" s="48"/>
      <c r="I28" s="24"/>
      <c r="J28" s="24"/>
      <c r="K28" s="24"/>
      <c r="L28" s="24"/>
      <c r="M28" s="24"/>
    </row>
    <row r="29" spans="1:16" x14ac:dyDescent="0.35">
      <c r="A29" s="24"/>
      <c r="B29" s="48"/>
      <c r="C29" s="48"/>
      <c r="D29" s="48"/>
      <c r="E29" s="48"/>
      <c r="F29" s="48"/>
      <c r="G29" s="48"/>
      <c r="H29" s="48"/>
      <c r="I29" s="24"/>
      <c r="J29" s="24"/>
      <c r="K29" s="24"/>
      <c r="L29" s="24"/>
      <c r="M29" s="24"/>
    </row>
    <row r="30" spans="1:16" x14ac:dyDescent="0.35">
      <c r="A30" s="24"/>
      <c r="B30" s="48"/>
      <c r="C30" s="48"/>
      <c r="D30" s="48"/>
      <c r="E30" s="48"/>
      <c r="F30" s="48"/>
      <c r="G30" s="48"/>
      <c r="H30" s="48"/>
      <c r="I30" s="24"/>
      <c r="J30" s="24"/>
      <c r="K30" s="24"/>
      <c r="L30" s="24"/>
      <c r="M30" s="24"/>
    </row>
    <row r="31" spans="1:16" x14ac:dyDescent="0.35">
      <c r="A31" s="24"/>
      <c r="B31" s="319" t="s">
        <v>154</v>
      </c>
      <c r="C31" s="285"/>
      <c r="D31" s="285"/>
      <c r="E31" s="285"/>
      <c r="F31" s="285"/>
      <c r="G31" s="285"/>
      <c r="H31" s="285"/>
      <c r="I31" s="24"/>
      <c r="J31" s="25" t="e">
        <f>C10</f>
        <v>#REF!</v>
      </c>
      <c r="K31" s="70"/>
      <c r="L31" s="70"/>
      <c r="M31" s="70"/>
    </row>
    <row r="32" spans="1:16" x14ac:dyDescent="0.35">
      <c r="A32" s="24"/>
      <c r="B32" s="25" t="s">
        <v>174</v>
      </c>
      <c r="C32" s="335" t="s">
        <v>175</v>
      </c>
      <c r="D32" s="285"/>
      <c r="E32" s="285"/>
      <c r="F32" s="285"/>
      <c r="G32" s="285"/>
      <c r="H32" s="285"/>
      <c r="I32" s="24"/>
      <c r="J32" s="25" t="str">
        <f>"NIP. "&amp;_xlfn.XLOOKUP('Isi Disini'!W44,'nama pegawai'!B:B,'nama pegawai'!C:C,"")</f>
        <v>NIP. 19840124 200212 1 002</v>
      </c>
      <c r="K32" s="319">
        <f>'Isi Disini'!C18</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t="e">
        <f>K20</f>
        <v>#REF!</v>
      </c>
      <c r="I37" s="285"/>
      <c r="J37" s="47"/>
      <c r="K37" s="24"/>
      <c r="L37" s="24"/>
      <c r="M37" s="24"/>
    </row>
    <row r="38" spans="1:14" x14ac:dyDescent="0.35">
      <c r="A38" s="24" t="s">
        <v>178</v>
      </c>
      <c r="B38" s="24"/>
      <c r="C38" s="24"/>
      <c r="D38" s="24"/>
      <c r="E38" s="24"/>
      <c r="F38" s="24"/>
      <c r="G38" s="51" t="s">
        <v>105</v>
      </c>
      <c r="H38" s="332" t="e">
        <f>B25</f>
        <v>#REF!</v>
      </c>
      <c r="I38" s="285"/>
      <c r="J38" s="52"/>
      <c r="K38" s="24"/>
      <c r="L38" s="24"/>
      <c r="M38" s="24"/>
      <c r="N38" s="68" t="s">
        <v>88</v>
      </c>
    </row>
    <row r="39" spans="1:14" x14ac:dyDescent="0.35">
      <c r="A39" s="24" t="s">
        <v>179</v>
      </c>
      <c r="B39" s="24"/>
      <c r="C39" s="24"/>
      <c r="D39" s="24"/>
      <c r="E39" s="24"/>
      <c r="F39" s="24"/>
      <c r="G39" s="51" t="s">
        <v>105</v>
      </c>
      <c r="H39" s="306" t="e">
        <f>H37-H38</f>
        <v>#REF!</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181</v>
      </c>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e">
        <f>C10</f>
        <v>#REF!</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Disini'!E17</f>
        <v>0</v>
      </c>
    </row>
    <row r="58" spans="1:13" s="75" customFormat="1" ht="15" customHeight="1" x14ac:dyDescent="0.35"/>
    <row r="59" spans="1:13" s="75" customFormat="1" ht="15" customHeight="1" x14ac:dyDescent="0.35">
      <c r="C59" s="75" t="s">
        <v>183</v>
      </c>
      <c r="J59" s="75" t="str">
        <f>G5</f>
        <v>WIM.16.IMI.1-KU.03.01-2178</v>
      </c>
      <c r="M59" s="75" t="s">
        <v>184</v>
      </c>
    </row>
    <row r="60" spans="1:13" s="75" customFormat="1" ht="15" customHeight="1" x14ac:dyDescent="0.35">
      <c r="C60" s="331">
        <f>G6</f>
        <v>46170</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Disini'!J17</f>
        <v>1</v>
      </c>
      <c r="G67" s="83" t="e">
        <f ca="1">PROPER([1]!terbilang(F67)) &amp; " hari x"</f>
        <v>#NAME?</v>
      </c>
      <c r="I67" s="84">
        <f>'Isi Disini'!L17</f>
        <v>530000</v>
      </c>
      <c r="K67" s="85"/>
      <c r="L67" s="310">
        <f>F67*I67</f>
        <v>530000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Disini'!J17</f>
        <v>1</v>
      </c>
      <c r="G70" s="83" t="e">
        <f ca="1">PROPER([1]!terbilang(F67)) &amp; " hari x"</f>
        <v>#NAME?</v>
      </c>
      <c r="I70" s="84">
        <f>'Isi Disini'!T17</f>
        <v>0</v>
      </c>
      <c r="K70" s="85"/>
      <c r="L70" s="310">
        <f>F70*I70</f>
        <v>0</v>
      </c>
      <c r="M70" s="236"/>
    </row>
    <row r="71" spans="3:13" s="75" customFormat="1" ht="15.65" customHeight="1" x14ac:dyDescent="0.35">
      <c r="D71" s="88"/>
      <c r="E71" s="89"/>
      <c r="F71" s="90" t="s">
        <v>118</v>
      </c>
      <c r="G71" s="91"/>
      <c r="H71" s="91"/>
      <c r="I71" s="91"/>
      <c r="J71" s="91"/>
      <c r="K71" s="91"/>
      <c r="L71" s="307">
        <f>L67+L70</f>
        <v>530000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0" t="s">
        <v>149</v>
      </c>
      <c r="E83" s="25"/>
      <c r="F83" s="25"/>
      <c r="J83" s="93" t="e">
        <f>J31</f>
        <v>#REF!</v>
      </c>
    </row>
    <row r="84" spans="1:13" s="75" customFormat="1" ht="15.65" customHeight="1" x14ac:dyDescent="0.35">
      <c r="D84" s="110" t="s">
        <v>150</v>
      </c>
      <c r="E84" s="71" t="s">
        <v>181</v>
      </c>
      <c r="F84" s="25"/>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3" s="24" customFormat="1" ht="13.75" customHeight="1" x14ac:dyDescent="0.3">
      <c r="B98" s="24" t="s">
        <v>182</v>
      </c>
    </row>
    <row r="99" spans="2:13" s="24" customFormat="1" ht="13.75" customHeight="1" x14ac:dyDescent="0.3"/>
    <row r="100" spans="2:13" s="24" customFormat="1" ht="13.75" customHeight="1" x14ac:dyDescent="0.3">
      <c r="B100" s="24" t="s">
        <v>45</v>
      </c>
      <c r="D100" s="69" t="s">
        <v>105</v>
      </c>
      <c r="E100" s="24" t="e">
        <f>F55</f>
        <v>#REF!</v>
      </c>
    </row>
    <row r="101" spans="2:13" s="24" customFormat="1" ht="13.75" customHeight="1" x14ac:dyDescent="0.3">
      <c r="B101" s="24" t="s">
        <v>106</v>
      </c>
      <c r="D101" s="69" t="s">
        <v>105</v>
      </c>
      <c r="E101" s="24">
        <f>F56</f>
        <v>0</v>
      </c>
    </row>
    <row r="102" spans="2:13" s="24" customFormat="1" ht="13.75" customHeight="1" x14ac:dyDescent="0.3">
      <c r="B102" s="24" t="s">
        <v>47</v>
      </c>
      <c r="D102" s="69" t="s">
        <v>105</v>
      </c>
      <c r="E102" s="24">
        <f>F57</f>
        <v>0</v>
      </c>
    </row>
    <row r="103" spans="2:13" s="24" customFormat="1" ht="13.75" customHeight="1" x14ac:dyDescent="0.3"/>
    <row r="104" spans="2:13" s="75" customFormat="1" ht="15" customHeight="1" x14ac:dyDescent="0.35">
      <c r="B104" s="75" t="s">
        <v>194</v>
      </c>
    </row>
    <row r="105" spans="2:13" s="97" customFormat="1" ht="62.25"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35.25" customHeight="1" x14ac:dyDescent="0.35">
      <c r="B106" s="96" t="s">
        <v>140</v>
      </c>
      <c r="C106" s="302" t="s">
        <v>195</v>
      </c>
      <c r="D106" s="303"/>
      <c r="E106" s="303"/>
      <c r="F106" s="303"/>
      <c r="G106" s="303"/>
      <c r="H106" s="303"/>
      <c r="I106" s="303"/>
      <c r="J106" s="303"/>
      <c r="K106" s="303"/>
      <c r="L106" s="303"/>
      <c r="M106" s="303"/>
    </row>
    <row r="107" spans="2:13" s="97" customFormat="1" ht="23.25" hidden="1" customHeight="1" x14ac:dyDescent="0.35">
      <c r="B107" s="96" t="s">
        <v>196</v>
      </c>
      <c r="C107" s="302" t="s">
        <v>197</v>
      </c>
      <c r="D107" s="303"/>
      <c r="E107" s="303"/>
      <c r="F107" s="303"/>
      <c r="G107" s="303"/>
      <c r="H107" s="303"/>
      <c r="I107" s="303"/>
      <c r="J107" s="303"/>
      <c r="K107" s="303"/>
      <c r="L107" s="303"/>
      <c r="M107" s="303"/>
    </row>
    <row r="108" spans="2:13" s="97" customFormat="1" ht="15" hidden="1" customHeight="1" x14ac:dyDescent="0.35">
      <c r="C108" s="97" t="s">
        <v>198</v>
      </c>
      <c r="D108" s="97" t="s">
        <v>199</v>
      </c>
    </row>
    <row r="109" spans="2:13" s="97" customFormat="1" ht="18" hidden="1" customHeight="1" x14ac:dyDescent="0.35">
      <c r="C109" s="97" t="s">
        <v>200</v>
      </c>
      <c r="D109" s="97" t="s">
        <v>201</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65" customHeight="1" x14ac:dyDescent="0.35">
      <c r="J115" s="93" t="str">
        <f>J78</f>
        <v>Yang Melakukan Perjalanan Dinas,</v>
      </c>
    </row>
    <row r="116" spans="2:13" s="75" customFormat="1" ht="15" customHeight="1" x14ac:dyDescent="0.35"/>
    <row r="117" spans="2:13" s="75" customFormat="1" ht="15" customHeight="1" x14ac:dyDescent="0.35"/>
    <row r="118" spans="2:13" s="75" customFormat="1" ht="15" customHeight="1" x14ac:dyDescent="0.35"/>
    <row r="119" spans="2:13" s="75" customFormat="1" ht="15" customHeight="1" x14ac:dyDescent="0.35"/>
    <row r="120" spans="2:13" s="75" customFormat="1" ht="15.65" customHeight="1" x14ac:dyDescent="0.35">
      <c r="J120" s="93" t="e">
        <f>J31</f>
        <v>#REF!</v>
      </c>
    </row>
    <row r="121" spans="2:13" s="75" customFormat="1" ht="15.65" customHeight="1" x14ac:dyDescent="0.35">
      <c r="J121" s="93" t="s">
        <v>151</v>
      </c>
      <c r="K121" s="93">
        <f>K32</f>
        <v>0</v>
      </c>
    </row>
  </sheetData>
  <mergeCells count="53">
    <mergeCell ref="C114:M114"/>
    <mergeCell ref="C32:H32"/>
    <mergeCell ref="C105:M105"/>
    <mergeCell ref="A1:M1"/>
    <mergeCell ref="B27:H27"/>
    <mergeCell ref="J25:K25"/>
    <mergeCell ref="H37:I37"/>
    <mergeCell ref="C10:I10"/>
    <mergeCell ref="C110:M110"/>
    <mergeCell ref="B9:I9"/>
    <mergeCell ref="J27:M27"/>
    <mergeCell ref="C106:M106"/>
    <mergeCell ref="D91:M91"/>
    <mergeCell ref="A21:M21"/>
    <mergeCell ref="D87:M87"/>
    <mergeCell ref="C60:F60"/>
    <mergeCell ref="K2:M2"/>
    <mergeCell ref="A93:M93"/>
    <mergeCell ref="D64:E65"/>
    <mergeCell ref="D88:M88"/>
    <mergeCell ref="L15:M15"/>
    <mergeCell ref="L18:M18"/>
    <mergeCell ref="L71:M71"/>
    <mergeCell ref="B25:E25"/>
    <mergeCell ref="L14:M14"/>
    <mergeCell ref="L8:M8"/>
    <mergeCell ref="B8:I8"/>
    <mergeCell ref="A20:I20"/>
    <mergeCell ref="A51:M51"/>
    <mergeCell ref="B31:H31"/>
    <mergeCell ref="D66:E66"/>
    <mergeCell ref="D90:M90"/>
    <mergeCell ref="D92:M92"/>
    <mergeCell ref="L19:M19"/>
    <mergeCell ref="C107:M107"/>
    <mergeCell ref="D73:M73"/>
    <mergeCell ref="A96:M96"/>
    <mergeCell ref="D89:M89"/>
    <mergeCell ref="H39:I39"/>
    <mergeCell ref="L70:M70"/>
    <mergeCell ref="D69:E69"/>
    <mergeCell ref="G6:I6"/>
    <mergeCell ref="L67:M67"/>
    <mergeCell ref="L16:M16"/>
    <mergeCell ref="A35:M35"/>
    <mergeCell ref="A4:M4"/>
    <mergeCell ref="L13:M13"/>
    <mergeCell ref="B12:I12"/>
    <mergeCell ref="L17:M17"/>
    <mergeCell ref="F64:K65"/>
    <mergeCell ref="L64:M65"/>
    <mergeCell ref="K32:M32"/>
    <mergeCell ref="H38:I38"/>
  </mergeCells>
  <hyperlinks>
    <hyperlink ref="A1" location="'MENU'!A1" display="&lt;&lt; MENU" xr:uid="{00000000-0004-0000-0800-000000000000}"/>
  </hyperlinks>
  <pageMargins left="0.39370078740157483" right="0.39370078740157483" top="0.74803149606299213" bottom="0.74803149606299213" header="0.31496062992125978" footer="0.31496062992125978"/>
  <pageSetup paperSize="9" scale="84"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S121"/>
  <sheetViews>
    <sheetView view="pageBreakPreview" topLeftCell="A8" zoomScale="90" zoomScaleNormal="100" zoomScaleSheetLayoutView="90" workbookViewId="0">
      <selection activeCell="J29" sqref="J29"/>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12.54296875" style="23" bestFit="1" customWidth="1"/>
    <col min="15" max="15" width="9.08984375" style="23" customWidth="1"/>
    <col min="16"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Disini'!G19</f>
        <v>WIM.16.IMI.1-KU.03.01-1282</v>
      </c>
      <c r="H5" s="24"/>
      <c r="I5" s="24"/>
      <c r="J5" s="24"/>
      <c r="K5" s="24"/>
      <c r="L5" s="24"/>
      <c r="M5" s="24"/>
      <c r="N5" s="24"/>
      <c r="O5" s="24"/>
    </row>
    <row r="6" spans="1:19" x14ac:dyDescent="0.35">
      <c r="A6" s="24" t="s">
        <v>110</v>
      </c>
      <c r="B6" s="24"/>
      <c r="C6" s="24"/>
      <c r="D6" s="24"/>
      <c r="E6" s="24"/>
      <c r="F6" s="69" t="s">
        <v>105</v>
      </c>
      <c r="G6" s="327">
        <f>'Isi Disini'!H19</f>
        <v>46170</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e">
        <f>Nominatif!#REF!</f>
        <v>#REF!</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I14+I15</f>
        <v>0</v>
      </c>
      <c r="L13" s="311"/>
      <c r="M13" s="236"/>
      <c r="N13" s="107">
        <f>K13-2781000</f>
        <v>-2781000</v>
      </c>
      <c r="O13" s="24"/>
    </row>
    <row r="14" spans="1:19" ht="15" customHeight="1" x14ac:dyDescent="0.35">
      <c r="A14" s="33"/>
      <c r="B14" s="38"/>
      <c r="C14" s="39" t="str">
        <f>'Isi Disini'!M19</f>
        <v>-</v>
      </c>
      <c r="D14" s="40"/>
      <c r="E14" s="40"/>
      <c r="F14" s="40"/>
      <c r="G14" s="41"/>
      <c r="H14" s="40"/>
      <c r="I14" s="66">
        <f>'Isi Disini'!N19</f>
        <v>0</v>
      </c>
      <c r="J14" s="66"/>
      <c r="K14" s="65"/>
      <c r="L14" s="311" t="s">
        <v>166</v>
      </c>
      <c r="M14" s="236"/>
      <c r="N14" s="24"/>
      <c r="O14" s="24"/>
    </row>
    <row r="15" spans="1:19" ht="15" customHeight="1" x14ac:dyDescent="0.35">
      <c r="A15" s="33"/>
      <c r="B15" s="38"/>
      <c r="C15" s="39" t="str">
        <f>'Isi Disini'!O19</f>
        <v>-</v>
      </c>
      <c r="D15" s="40"/>
      <c r="E15" s="40"/>
      <c r="F15" s="40"/>
      <c r="G15" s="41"/>
      <c r="H15" s="40"/>
      <c r="I15" s="66">
        <f>'Isi Disini'!P19</f>
        <v>0</v>
      </c>
      <c r="J15" s="66"/>
      <c r="K15" s="65"/>
      <c r="L15" s="311" t="s">
        <v>166</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Disini'!L19</f>
        <v>380000</v>
      </c>
      <c r="J16" s="66"/>
      <c r="K16" s="65">
        <f>G16*I16</f>
        <v>380000</v>
      </c>
      <c r="L16" s="311" t="s">
        <v>166</v>
      </c>
      <c r="M16" s="236"/>
      <c r="N16" s="24"/>
      <c r="O16" s="24"/>
    </row>
    <row r="17" spans="1:15" ht="15" customHeight="1" x14ac:dyDescent="0.35">
      <c r="A17" s="33"/>
      <c r="B17" s="38" t="s">
        <v>80</v>
      </c>
      <c r="C17" s="39" t="s">
        <v>167</v>
      </c>
      <c r="D17" s="40"/>
      <c r="E17" s="40"/>
      <c r="F17" s="40"/>
      <c r="G17" s="41"/>
      <c r="H17" s="40"/>
      <c r="I17" s="66"/>
      <c r="J17" s="66"/>
      <c r="K17" s="172" t="e">
        <f>Nominatif!#REF!</f>
        <v>#REF!</v>
      </c>
      <c r="L17" s="311" t="s">
        <v>166</v>
      </c>
      <c r="M17" s="236"/>
      <c r="N17" s="24"/>
      <c r="O17" s="24"/>
    </row>
    <row r="18" spans="1:15" ht="15" customHeight="1" x14ac:dyDescent="0.35">
      <c r="A18" s="33"/>
      <c r="B18" s="38" t="s">
        <v>80</v>
      </c>
      <c r="C18" s="39" t="s">
        <v>168</v>
      </c>
      <c r="D18" s="40"/>
      <c r="E18" s="40"/>
      <c r="F18" s="40"/>
      <c r="G18" s="41"/>
      <c r="H18" s="40"/>
      <c r="I18" s="66"/>
      <c r="J18" s="66"/>
      <c r="K18" s="65" t="e">
        <f>Nominatif!#REF!</f>
        <v>#REF!</v>
      </c>
      <c r="L18" s="311" t="s">
        <v>166</v>
      </c>
      <c r="M18" s="236"/>
      <c r="N18" s="24"/>
      <c r="O18" s="24"/>
    </row>
    <row r="19" spans="1:15" ht="15" customHeight="1" x14ac:dyDescent="0.35">
      <c r="A19" s="33"/>
      <c r="B19" s="38" t="s">
        <v>80</v>
      </c>
      <c r="C19" s="54" t="s">
        <v>169</v>
      </c>
      <c r="D19" s="40"/>
      <c r="E19" s="40"/>
      <c r="F19" s="40"/>
      <c r="G19" s="41"/>
      <c r="H19" s="40"/>
      <c r="I19" s="66"/>
      <c r="J19" s="66"/>
      <c r="K19" s="65" t="e">
        <f>Nominatif!#REF!</f>
        <v>#REF!</v>
      </c>
      <c r="L19" s="309" t="s">
        <v>166</v>
      </c>
      <c r="M19" s="237"/>
      <c r="N19" s="24"/>
      <c r="O19" s="24"/>
    </row>
    <row r="20" spans="1:15" ht="15" customHeight="1" thickBot="1" x14ac:dyDescent="0.4">
      <c r="A20" s="313" t="s">
        <v>118</v>
      </c>
      <c r="B20" s="258"/>
      <c r="C20" s="258"/>
      <c r="D20" s="258"/>
      <c r="E20" s="258"/>
      <c r="F20" s="258"/>
      <c r="G20" s="258"/>
      <c r="H20" s="258"/>
      <c r="I20" s="232"/>
      <c r="J20" s="60"/>
      <c r="K20" s="43" t="e">
        <f>SUM(K9:K19)</f>
        <v>#REF!</v>
      </c>
      <c r="L20" s="44"/>
      <c r="M20" s="45"/>
    </row>
    <row r="21" spans="1:15" ht="15" customHeight="1" thickBot="1" x14ac:dyDescent="0.4">
      <c r="A21" s="334" t="e">
        <f ca="1">PROPER([1]!terbilang(K20)&amp;" rupiah")</f>
        <v>#NAME?</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t="e">
        <f>K20</f>
        <v>#REF!</v>
      </c>
      <c r="C25" s="285"/>
      <c r="D25" s="285"/>
      <c r="E25" s="285"/>
      <c r="F25" s="47"/>
      <c r="G25" s="47"/>
      <c r="H25" s="47"/>
      <c r="I25" s="46"/>
      <c r="J25" s="321" t="e">
        <f>K20</f>
        <v>#REF!</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319" t="s">
        <v>154</v>
      </c>
      <c r="C31" s="285"/>
      <c r="D31" s="285"/>
      <c r="E31" s="285"/>
      <c r="F31" s="285"/>
      <c r="G31" s="285"/>
      <c r="H31" s="285"/>
      <c r="I31" s="24"/>
      <c r="J31" s="25" t="e">
        <f>C10</f>
        <v>#REF!</v>
      </c>
      <c r="K31" s="70"/>
      <c r="L31" s="70"/>
      <c r="M31" s="70"/>
    </row>
    <row r="32" spans="1:15" x14ac:dyDescent="0.35">
      <c r="A32" s="24"/>
      <c r="B32" s="25" t="s">
        <v>174</v>
      </c>
      <c r="C32" s="335" t="s">
        <v>175</v>
      </c>
      <c r="D32" s="285"/>
      <c r="E32" s="285"/>
      <c r="F32" s="285"/>
      <c r="G32" s="285"/>
      <c r="H32" s="285"/>
      <c r="I32" s="24"/>
      <c r="J32" s="25" t="str">
        <f>"NIP. "&amp;_xlfn.XLOOKUP('Isi Disini'!W44,'nama pegawai'!B:B,'nama pegawai'!C:C,"")</f>
        <v>NIP. 19840124 200212 1 002</v>
      </c>
      <c r="K32" s="319">
        <f>'Isi Disini'!C20</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t="e">
        <f>K20</f>
        <v>#REF!</v>
      </c>
      <c r="I37" s="285"/>
      <c r="J37" s="47"/>
      <c r="K37" s="24"/>
      <c r="L37" s="24"/>
      <c r="M37" s="24"/>
    </row>
    <row r="38" spans="1:14" x14ac:dyDescent="0.35">
      <c r="A38" s="24" t="s">
        <v>178</v>
      </c>
      <c r="B38" s="24"/>
      <c r="C38" s="24"/>
      <c r="D38" s="24"/>
      <c r="E38" s="24"/>
      <c r="F38" s="24"/>
      <c r="G38" s="51" t="s">
        <v>105</v>
      </c>
      <c r="H38" s="332" t="e">
        <f>B25</f>
        <v>#REF!</v>
      </c>
      <c r="I38" s="285"/>
      <c r="J38" s="52"/>
      <c r="K38" s="24"/>
      <c r="L38" s="24"/>
      <c r="M38" s="24"/>
      <c r="N38" s="68" t="s">
        <v>88</v>
      </c>
    </row>
    <row r="39" spans="1:14" x14ac:dyDescent="0.35">
      <c r="A39" s="24" t="s">
        <v>179</v>
      </c>
      <c r="B39" s="24"/>
      <c r="C39" s="24"/>
      <c r="D39" s="24"/>
      <c r="E39" s="24"/>
      <c r="F39" s="24"/>
      <c r="G39" s="51" t="s">
        <v>105</v>
      </c>
      <c r="H39" s="306" t="e">
        <f>H37-H38</f>
        <v>#REF!</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181</v>
      </c>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e">
        <f>C10</f>
        <v>#REF!</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Disini'!E19</f>
        <v>0</v>
      </c>
    </row>
    <row r="58" spans="1:13" s="75" customFormat="1" ht="15" customHeight="1" x14ac:dyDescent="0.35"/>
    <row r="59" spans="1:13" s="75" customFormat="1" ht="15" customHeight="1" x14ac:dyDescent="0.35">
      <c r="C59" s="75" t="s">
        <v>183</v>
      </c>
      <c r="J59" s="75" t="str">
        <f>G5</f>
        <v>WIM.16.IMI.1-KU.03.01-1282</v>
      </c>
      <c r="M59" s="75" t="s">
        <v>184</v>
      </c>
    </row>
    <row r="60" spans="1:13" s="75" customFormat="1" ht="15" customHeight="1" x14ac:dyDescent="0.35">
      <c r="C60" s="331">
        <f>G6</f>
        <v>46170</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Disini'!J19</f>
        <v>4</v>
      </c>
      <c r="G67" s="83" t="e">
        <f ca="1">PROPER([1]!terbilang(F67)) &amp; " hari x"</f>
        <v>#NAME?</v>
      </c>
      <c r="I67" s="84">
        <f>'Isi Disini'!L19</f>
        <v>380000</v>
      </c>
      <c r="K67" s="85"/>
      <c r="L67" s="310">
        <f>F67*I67</f>
        <v>1520000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Disini'!J19</f>
        <v>4</v>
      </c>
      <c r="G70" s="83" t="e">
        <f ca="1">PROPER([1]!terbilang(F67)) &amp; " hari x"</f>
        <v>#NAME?</v>
      </c>
      <c r="I70" s="84">
        <f>'Isi Disini'!T19</f>
        <v>0</v>
      </c>
      <c r="K70" s="85"/>
      <c r="L70" s="310">
        <f>F70*I70</f>
        <v>0</v>
      </c>
      <c r="M70" s="236"/>
    </row>
    <row r="71" spans="3:13" s="75" customFormat="1" ht="15.65" customHeight="1" x14ac:dyDescent="0.35">
      <c r="D71" s="88"/>
      <c r="E71" s="89"/>
      <c r="F71" s="90" t="s">
        <v>118</v>
      </c>
      <c r="G71" s="91"/>
      <c r="H71" s="91"/>
      <c r="I71" s="91"/>
      <c r="J71" s="91"/>
      <c r="K71" s="91"/>
      <c r="L71" s="307">
        <f>L67+L70</f>
        <v>1520000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0" t="s">
        <v>149</v>
      </c>
      <c r="E83" s="25"/>
      <c r="F83" s="25"/>
      <c r="J83" s="93" t="e">
        <f>J31</f>
        <v>#REF!</v>
      </c>
    </row>
    <row r="84" spans="1:13" s="75" customFormat="1" ht="15.65" customHeight="1" x14ac:dyDescent="0.35">
      <c r="D84" s="110" t="s">
        <v>150</v>
      </c>
      <c r="E84" s="71" t="s">
        <v>181</v>
      </c>
      <c r="F84" s="25"/>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3" s="24" customFormat="1" ht="13.75" customHeight="1" x14ac:dyDescent="0.3">
      <c r="B98" s="24" t="s">
        <v>182</v>
      </c>
    </row>
    <row r="99" spans="2:13" s="24" customFormat="1" ht="13.75" customHeight="1" x14ac:dyDescent="0.3"/>
    <row r="100" spans="2:13" s="24" customFormat="1" ht="13.75" customHeight="1" x14ac:dyDescent="0.3">
      <c r="B100" s="24" t="s">
        <v>45</v>
      </c>
      <c r="D100" s="69" t="s">
        <v>105</v>
      </c>
      <c r="E100" s="24" t="e">
        <f>F55</f>
        <v>#REF!</v>
      </c>
    </row>
    <row r="101" spans="2:13" s="24" customFormat="1" ht="13.75" customHeight="1" x14ac:dyDescent="0.3">
      <c r="B101" s="24" t="s">
        <v>106</v>
      </c>
      <c r="D101" s="69" t="s">
        <v>105</v>
      </c>
      <c r="E101" s="24">
        <f>F56</f>
        <v>0</v>
      </c>
    </row>
    <row r="102" spans="2:13" s="24" customFormat="1" ht="13.75" customHeight="1" x14ac:dyDescent="0.3">
      <c r="B102" s="24" t="s">
        <v>47</v>
      </c>
      <c r="D102" s="69" t="s">
        <v>105</v>
      </c>
      <c r="E102" s="24">
        <f>F57</f>
        <v>0</v>
      </c>
    </row>
    <row r="103" spans="2:13" s="24" customFormat="1" ht="13.75" customHeight="1" x14ac:dyDescent="0.3"/>
    <row r="104" spans="2:13" s="75" customFormat="1" ht="15" customHeight="1" x14ac:dyDescent="0.35">
      <c r="B104" s="75" t="s">
        <v>194</v>
      </c>
    </row>
    <row r="105" spans="2:13" s="97" customFormat="1" ht="62.25"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33" customHeight="1" x14ac:dyDescent="0.35">
      <c r="B106" s="96" t="s">
        <v>140</v>
      </c>
      <c r="C106" s="302" t="s">
        <v>195</v>
      </c>
      <c r="D106" s="303"/>
      <c r="E106" s="303"/>
      <c r="F106" s="303"/>
      <c r="G106" s="303"/>
      <c r="H106" s="303"/>
      <c r="I106" s="303"/>
      <c r="J106" s="303"/>
      <c r="K106" s="303"/>
      <c r="L106" s="303"/>
      <c r="M106" s="303"/>
    </row>
    <row r="107" spans="2:13" s="97" customFormat="1" ht="23.25" hidden="1" customHeight="1" x14ac:dyDescent="0.35">
      <c r="B107" s="96" t="s">
        <v>196</v>
      </c>
      <c r="C107" s="302" t="s">
        <v>215</v>
      </c>
      <c r="D107" s="303"/>
      <c r="E107" s="303"/>
      <c r="F107" s="303"/>
      <c r="G107" s="303"/>
      <c r="H107" s="303"/>
      <c r="I107" s="303"/>
      <c r="J107" s="303"/>
      <c r="K107" s="303"/>
      <c r="L107" s="303"/>
      <c r="M107" s="303"/>
    </row>
    <row r="108" spans="2:13" s="97" customFormat="1" ht="15" hidden="1" customHeight="1" x14ac:dyDescent="0.35">
      <c r="C108" s="97" t="s">
        <v>198</v>
      </c>
      <c r="D108" s="97" t="s">
        <v>216</v>
      </c>
    </row>
    <row r="109" spans="2:13" s="97" customFormat="1" ht="18" hidden="1" customHeight="1" x14ac:dyDescent="0.35">
      <c r="C109" s="97" t="s">
        <v>200</v>
      </c>
      <c r="D109" s="97" t="s">
        <v>217</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65" customHeight="1" x14ac:dyDescent="0.35">
      <c r="J115" s="93" t="str">
        <f>J78</f>
        <v>Yang Melakukan Perjalanan Dinas,</v>
      </c>
    </row>
    <row r="116" spans="2:13" s="75" customFormat="1" ht="15" customHeight="1" x14ac:dyDescent="0.35"/>
    <row r="117" spans="2:13" s="75" customFormat="1" ht="15" customHeight="1" x14ac:dyDescent="0.35"/>
    <row r="118" spans="2:13" s="75" customFormat="1" ht="15" customHeight="1" x14ac:dyDescent="0.35"/>
    <row r="119" spans="2:13" s="75" customFormat="1" ht="15" customHeight="1" x14ac:dyDescent="0.35"/>
    <row r="120" spans="2:13" s="75" customFormat="1" ht="15.65" customHeight="1" x14ac:dyDescent="0.35">
      <c r="J120" s="93" t="e">
        <f>J31</f>
        <v>#REF!</v>
      </c>
    </row>
    <row r="121" spans="2:13" s="75" customFormat="1" ht="15.65" customHeight="1" x14ac:dyDescent="0.35">
      <c r="J121" s="93" t="s">
        <v>151</v>
      </c>
      <c r="K121" s="93">
        <f>K32</f>
        <v>0</v>
      </c>
    </row>
  </sheetData>
  <mergeCells count="53">
    <mergeCell ref="C114:M114"/>
    <mergeCell ref="C32:H32"/>
    <mergeCell ref="C105:M105"/>
    <mergeCell ref="A1:M1"/>
    <mergeCell ref="B27:H27"/>
    <mergeCell ref="J25:K25"/>
    <mergeCell ref="H37:I37"/>
    <mergeCell ref="C10:I10"/>
    <mergeCell ref="C110:M110"/>
    <mergeCell ref="B9:I9"/>
    <mergeCell ref="J27:M27"/>
    <mergeCell ref="C106:M106"/>
    <mergeCell ref="D91:M91"/>
    <mergeCell ref="A21:M21"/>
    <mergeCell ref="D87:M87"/>
    <mergeCell ref="C60:F60"/>
    <mergeCell ref="K2:M2"/>
    <mergeCell ref="A93:M93"/>
    <mergeCell ref="D64:E65"/>
    <mergeCell ref="D88:M88"/>
    <mergeCell ref="L15:M15"/>
    <mergeCell ref="L18:M18"/>
    <mergeCell ref="L71:M71"/>
    <mergeCell ref="B25:E25"/>
    <mergeCell ref="L14:M14"/>
    <mergeCell ref="L8:M8"/>
    <mergeCell ref="B8:I8"/>
    <mergeCell ref="A20:I20"/>
    <mergeCell ref="A51:M51"/>
    <mergeCell ref="B31:H31"/>
    <mergeCell ref="D66:E66"/>
    <mergeCell ref="D90:M90"/>
    <mergeCell ref="D92:M92"/>
    <mergeCell ref="L19:M19"/>
    <mergeCell ref="C107:M107"/>
    <mergeCell ref="D73:M73"/>
    <mergeCell ref="A96:M96"/>
    <mergeCell ref="D89:M89"/>
    <mergeCell ref="H39:I39"/>
    <mergeCell ref="L70:M70"/>
    <mergeCell ref="D69:E69"/>
    <mergeCell ref="G6:I6"/>
    <mergeCell ref="L67:M67"/>
    <mergeCell ref="L16:M16"/>
    <mergeCell ref="A35:M35"/>
    <mergeCell ref="A4:M4"/>
    <mergeCell ref="L13:M13"/>
    <mergeCell ref="B12:I12"/>
    <mergeCell ref="L17:M17"/>
    <mergeCell ref="F64:K65"/>
    <mergeCell ref="L64:M65"/>
    <mergeCell ref="K32:M32"/>
    <mergeCell ref="H38:I38"/>
  </mergeCells>
  <hyperlinks>
    <hyperlink ref="A1" location="'MENU'!A1" display="&lt;&lt; MENU" xr:uid="{00000000-0004-0000-0900-000000000000}"/>
  </hyperlinks>
  <pageMargins left="0.39370078740157483" right="0.39370078740157483" top="0.74803149606299213" bottom="0.74803149606299213" header="0.31496062992125978" footer="0.31496062992125978"/>
  <pageSetup paperSize="9" scale="84"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S121"/>
  <sheetViews>
    <sheetView view="pageBreakPreview" zoomScale="90" zoomScaleNormal="100" zoomScaleSheetLayoutView="90" workbookViewId="0">
      <selection activeCell="N16" sqref="N16"/>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Disini'!G21</f>
        <v>WIM.16.IMI.1-KU.03.01-1046</v>
      </c>
      <c r="H5" s="24"/>
      <c r="I5" s="24"/>
      <c r="J5" s="24"/>
      <c r="K5" s="24"/>
      <c r="L5" s="24"/>
      <c r="M5" s="24"/>
      <c r="N5" s="24"/>
      <c r="O5" s="24"/>
    </row>
    <row r="6" spans="1:19" x14ac:dyDescent="0.35">
      <c r="A6" s="24" t="s">
        <v>110</v>
      </c>
      <c r="B6" s="24"/>
      <c r="C6" s="24"/>
      <c r="D6" s="24"/>
      <c r="E6" s="24"/>
      <c r="F6" s="69" t="s">
        <v>105</v>
      </c>
      <c r="G6" s="327">
        <f>'Isi Disini'!H21</f>
        <v>46083</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e">
        <f>Nominatif!#REF!</f>
        <v>#REF!</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I14+I15</f>
        <v>0</v>
      </c>
      <c r="L13" s="311"/>
      <c r="M13" s="236"/>
      <c r="N13" s="24"/>
      <c r="O13" s="24"/>
    </row>
    <row r="14" spans="1:19" ht="15" customHeight="1" x14ac:dyDescent="0.35">
      <c r="A14" s="33"/>
      <c r="B14" s="38"/>
      <c r="C14" s="39" t="str">
        <f>'Isi Disini'!M21</f>
        <v>-</v>
      </c>
      <c r="D14" s="40"/>
      <c r="E14" s="40"/>
      <c r="F14" s="40"/>
      <c r="G14" s="41"/>
      <c r="H14" s="40"/>
      <c r="I14" s="66">
        <f>'Isi Disini'!N21</f>
        <v>0</v>
      </c>
      <c r="J14" s="66"/>
      <c r="K14" s="65"/>
      <c r="L14" s="311" t="s">
        <v>166</v>
      </c>
      <c r="M14" s="236"/>
      <c r="N14" s="24"/>
      <c r="O14" s="24"/>
    </row>
    <row r="15" spans="1:19" ht="15" customHeight="1" x14ac:dyDescent="0.35">
      <c r="A15" s="33"/>
      <c r="B15" s="38"/>
      <c r="C15" s="39" t="str">
        <f>'Isi Disini'!O21</f>
        <v>-</v>
      </c>
      <c r="D15" s="40"/>
      <c r="E15" s="40"/>
      <c r="F15" s="40"/>
      <c r="G15" s="41"/>
      <c r="H15" s="40"/>
      <c r="I15" s="66">
        <f>'Isi Disini'!P21</f>
        <v>0</v>
      </c>
      <c r="J15" s="66"/>
      <c r="K15" s="65"/>
      <c r="L15" s="311" t="s">
        <v>166</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Disini'!L21</f>
        <v>380000</v>
      </c>
      <c r="J16" s="66"/>
      <c r="K16" s="65">
        <f>G16*I16</f>
        <v>380000</v>
      </c>
      <c r="L16" s="311" t="s">
        <v>166</v>
      </c>
      <c r="M16" s="236"/>
      <c r="N16" s="24"/>
      <c r="O16" s="24"/>
    </row>
    <row r="17" spans="1:15" ht="15" customHeight="1" x14ac:dyDescent="0.35">
      <c r="A17" s="33"/>
      <c r="B17" s="38" t="s">
        <v>80</v>
      </c>
      <c r="C17" s="39" t="s">
        <v>167</v>
      </c>
      <c r="D17" s="40"/>
      <c r="E17" s="40"/>
      <c r="F17" s="40"/>
      <c r="G17" s="41"/>
      <c r="H17" s="40"/>
      <c r="I17" s="66"/>
      <c r="J17" s="66"/>
      <c r="K17" s="172" t="e">
        <f>Nominatif!#REF!</f>
        <v>#REF!</v>
      </c>
      <c r="L17" s="311" t="s">
        <v>166</v>
      </c>
      <c r="M17" s="236"/>
      <c r="N17" s="24"/>
      <c r="O17" s="24"/>
    </row>
    <row r="18" spans="1:15" ht="15" customHeight="1" x14ac:dyDescent="0.35">
      <c r="A18" s="33"/>
      <c r="B18" s="38" t="s">
        <v>80</v>
      </c>
      <c r="C18" s="39" t="s">
        <v>168</v>
      </c>
      <c r="D18" s="40"/>
      <c r="E18" s="40"/>
      <c r="F18" s="40"/>
      <c r="G18" s="41"/>
      <c r="H18" s="40"/>
      <c r="I18" s="66"/>
      <c r="J18" s="66"/>
      <c r="K18" s="65" t="e">
        <f>Nominatif!#REF!</f>
        <v>#REF!</v>
      </c>
      <c r="L18" s="311" t="s">
        <v>166</v>
      </c>
      <c r="M18" s="236"/>
      <c r="N18" s="24"/>
      <c r="O18" s="24"/>
    </row>
    <row r="19" spans="1:15" ht="15" customHeight="1" x14ac:dyDescent="0.35">
      <c r="A19" s="33"/>
      <c r="B19" s="38" t="s">
        <v>80</v>
      </c>
      <c r="C19" s="54" t="s">
        <v>169</v>
      </c>
      <c r="D19" s="40"/>
      <c r="E19" s="40"/>
      <c r="F19" s="40"/>
      <c r="G19" s="41"/>
      <c r="H19" s="40"/>
      <c r="I19" s="66"/>
      <c r="J19" s="66"/>
      <c r="K19" s="65" t="e">
        <f>Nominatif!#REF!</f>
        <v>#REF!</v>
      </c>
      <c r="L19" s="311" t="s">
        <v>166</v>
      </c>
      <c r="M19" s="236"/>
      <c r="N19" s="24"/>
      <c r="O19" s="24"/>
    </row>
    <row r="20" spans="1:15" ht="15" customHeight="1" thickBot="1" x14ac:dyDescent="0.4">
      <c r="A20" s="313" t="s">
        <v>118</v>
      </c>
      <c r="B20" s="258"/>
      <c r="C20" s="258"/>
      <c r="D20" s="258"/>
      <c r="E20" s="258"/>
      <c r="F20" s="258"/>
      <c r="G20" s="258"/>
      <c r="H20" s="258"/>
      <c r="I20" s="232"/>
      <c r="J20" s="60"/>
      <c r="K20" s="43" t="e">
        <f>SUM(K9:K19)</f>
        <v>#REF!</v>
      </c>
      <c r="L20" s="44"/>
      <c r="M20" s="45"/>
    </row>
    <row r="21" spans="1:15" ht="15" customHeight="1" thickBot="1" x14ac:dyDescent="0.4">
      <c r="A21" s="334" t="e">
        <f ca="1">PROPER([1]!terbilang(K20)&amp;" rupiah")</f>
        <v>#NAME?</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t="e">
        <f>K20</f>
        <v>#REF!</v>
      </c>
      <c r="C25" s="285"/>
      <c r="D25" s="285"/>
      <c r="E25" s="285"/>
      <c r="F25" s="47"/>
      <c r="G25" s="47"/>
      <c r="H25" s="47"/>
      <c r="I25" s="46"/>
      <c r="J25" s="321" t="e">
        <f>K20</f>
        <v>#REF!</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170" t="s">
        <v>218</v>
      </c>
      <c r="C31" s="170"/>
      <c r="D31" s="170"/>
      <c r="E31" s="170"/>
      <c r="F31" s="170"/>
      <c r="G31" s="170"/>
      <c r="H31" s="170"/>
      <c r="I31" s="24"/>
      <c r="J31" s="25" t="e">
        <f>C10</f>
        <v>#REF!</v>
      </c>
      <c r="K31" s="70"/>
      <c r="L31" s="70"/>
      <c r="M31" s="70"/>
    </row>
    <row r="32" spans="1:15" x14ac:dyDescent="0.35">
      <c r="A32" s="24"/>
      <c r="B32" s="25" t="s">
        <v>174</v>
      </c>
      <c r="C32" s="169" t="s">
        <v>219</v>
      </c>
      <c r="D32" s="170"/>
      <c r="E32" s="170"/>
      <c r="F32" s="170"/>
      <c r="G32" s="170"/>
      <c r="H32" s="170"/>
      <c r="I32" s="24"/>
      <c r="J32" s="25" t="str">
        <f>"NIP. "&amp;_xlfn.XLOOKUP('Isi Disini'!W44,'nama pegawai'!B:B,'nama pegawai'!C:C,"")</f>
        <v>NIP. 19840124 200212 1 002</v>
      </c>
      <c r="K32" s="319">
        <f>'Isi Disini'!C22</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t="e">
        <f>K20</f>
        <v>#REF!</v>
      </c>
      <c r="I37" s="285"/>
      <c r="J37" s="47"/>
      <c r="K37" s="24"/>
      <c r="L37" s="24"/>
      <c r="M37" s="24"/>
    </row>
    <row r="38" spans="1:14" x14ac:dyDescent="0.35">
      <c r="A38" s="24" t="s">
        <v>178</v>
      </c>
      <c r="B38" s="24"/>
      <c r="C38" s="24"/>
      <c r="D38" s="24"/>
      <c r="E38" s="24"/>
      <c r="F38" s="24"/>
      <c r="G38" s="51" t="s">
        <v>105</v>
      </c>
      <c r="H38" s="332" t="e">
        <f>B25</f>
        <v>#REF!</v>
      </c>
      <c r="I38" s="285"/>
      <c r="J38" s="52"/>
      <c r="K38" s="24"/>
      <c r="L38" s="24"/>
      <c r="M38" s="24"/>
      <c r="N38" s="68" t="s">
        <v>88</v>
      </c>
    </row>
    <row r="39" spans="1:14" x14ac:dyDescent="0.35">
      <c r="A39" s="24" t="s">
        <v>179</v>
      </c>
      <c r="B39" s="24"/>
      <c r="C39" s="24"/>
      <c r="D39" s="24"/>
      <c r="E39" s="24"/>
      <c r="F39" s="24"/>
      <c r="G39" s="51" t="s">
        <v>105</v>
      </c>
      <c r="H39" s="306" t="e">
        <f>H37-H38</f>
        <v>#REF!</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181</v>
      </c>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e">
        <f>C10</f>
        <v>#REF!</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Disini'!E21</f>
        <v>0</v>
      </c>
    </row>
    <row r="58" spans="1:13" s="75" customFormat="1" ht="15" customHeight="1" x14ac:dyDescent="0.35"/>
    <row r="59" spans="1:13" s="75" customFormat="1" ht="15" customHeight="1" x14ac:dyDescent="0.35">
      <c r="C59" s="75" t="s">
        <v>183</v>
      </c>
      <c r="J59" s="75" t="str">
        <f>G5</f>
        <v>WIM.16.IMI.1-KU.03.01-1046</v>
      </c>
      <c r="M59" s="75" t="s">
        <v>184</v>
      </c>
    </row>
    <row r="60" spans="1:13" s="75" customFormat="1" ht="15" customHeight="1" x14ac:dyDescent="0.35">
      <c r="C60" s="331">
        <f>G6</f>
        <v>46083</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Disini'!J21</f>
        <v>3</v>
      </c>
      <c r="G67" s="83" t="e">
        <f ca="1">PROPER([1]!terbilang(F67)) &amp; " hari x"</f>
        <v>#NAME?</v>
      </c>
      <c r="I67" s="84">
        <f>'Isi Disini'!L21</f>
        <v>380000</v>
      </c>
      <c r="K67" s="85"/>
      <c r="L67" s="310">
        <f>F67*I67</f>
        <v>1140000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Disini'!J21</f>
        <v>3</v>
      </c>
      <c r="G70" s="83" t="e">
        <f ca="1">PROPER([1]!terbilang(F67)) &amp; " hari x"</f>
        <v>#NAME?</v>
      </c>
      <c r="I70" s="84">
        <f>'Isi Disini'!T21</f>
        <v>0</v>
      </c>
      <c r="K70" s="85"/>
      <c r="L70" s="310">
        <f>F70*I70</f>
        <v>0</v>
      </c>
      <c r="M70" s="236"/>
    </row>
    <row r="71" spans="3:13" s="75" customFormat="1" ht="15.65" customHeight="1" x14ac:dyDescent="0.35">
      <c r="D71" s="88"/>
      <c r="E71" s="89"/>
      <c r="F71" s="90" t="s">
        <v>118</v>
      </c>
      <c r="G71" s="91"/>
      <c r="H71" s="91"/>
      <c r="I71" s="91"/>
      <c r="J71" s="91"/>
      <c r="K71" s="91"/>
      <c r="L71" s="307">
        <f>L67+L70</f>
        <v>1140000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0" t="s">
        <v>149</v>
      </c>
      <c r="E83" s="25"/>
      <c r="F83" s="25"/>
      <c r="J83" s="93" t="e">
        <f>Nominatif!#REF!</f>
        <v>#REF!</v>
      </c>
    </row>
    <row r="84" spans="1:13" s="75" customFormat="1" ht="15.65" customHeight="1" x14ac:dyDescent="0.35">
      <c r="D84" s="110" t="s">
        <v>150</v>
      </c>
      <c r="E84" s="71" t="s">
        <v>181</v>
      </c>
      <c r="F84" s="25"/>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3" s="24" customFormat="1" ht="13.75" customHeight="1" x14ac:dyDescent="0.3">
      <c r="B98" s="24" t="s">
        <v>182</v>
      </c>
    </row>
    <row r="99" spans="2:13" s="24" customFormat="1" ht="13.75" customHeight="1" x14ac:dyDescent="0.3"/>
    <row r="100" spans="2:13" s="24" customFormat="1" ht="13.75" customHeight="1" x14ac:dyDescent="0.3">
      <c r="B100" s="24" t="s">
        <v>45</v>
      </c>
      <c r="D100" s="69" t="s">
        <v>105</v>
      </c>
      <c r="E100" s="24" t="e">
        <f>F55</f>
        <v>#REF!</v>
      </c>
    </row>
    <row r="101" spans="2:13" s="24" customFormat="1" ht="13.75" customHeight="1" x14ac:dyDescent="0.3">
      <c r="B101" s="24" t="s">
        <v>106</v>
      </c>
      <c r="D101" s="69" t="s">
        <v>105</v>
      </c>
      <c r="E101" s="24">
        <f>F56</f>
        <v>0</v>
      </c>
    </row>
    <row r="102" spans="2:13" s="24" customFormat="1" ht="13.75" customHeight="1" x14ac:dyDescent="0.3">
      <c r="B102" s="24" t="s">
        <v>47</v>
      </c>
      <c r="D102" s="69" t="s">
        <v>105</v>
      </c>
      <c r="E102" s="24">
        <f>F57</f>
        <v>0</v>
      </c>
    </row>
    <row r="103" spans="2:13" s="24" customFormat="1" ht="13.75" customHeight="1" x14ac:dyDescent="0.3"/>
    <row r="104" spans="2:13" s="75" customFormat="1" ht="15" customHeight="1" x14ac:dyDescent="0.35">
      <c r="B104" s="75" t="s">
        <v>194</v>
      </c>
    </row>
    <row r="105" spans="2:13" s="97" customFormat="1" ht="62.25"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35.25" customHeight="1" x14ac:dyDescent="0.35">
      <c r="B106" s="96" t="s">
        <v>140</v>
      </c>
      <c r="C106" s="302" t="s">
        <v>195</v>
      </c>
      <c r="D106" s="303"/>
      <c r="E106" s="303"/>
      <c r="F106" s="303"/>
      <c r="G106" s="303"/>
      <c r="H106" s="303"/>
      <c r="I106" s="303"/>
      <c r="J106" s="303"/>
      <c r="K106" s="303"/>
      <c r="L106" s="303"/>
      <c r="M106" s="303"/>
    </row>
    <row r="107" spans="2:13" s="97" customFormat="1" ht="23.25" hidden="1" customHeight="1" x14ac:dyDescent="0.35">
      <c r="B107" s="96" t="s">
        <v>196</v>
      </c>
      <c r="C107" s="302" t="s">
        <v>215</v>
      </c>
      <c r="D107" s="303"/>
      <c r="E107" s="303"/>
      <c r="F107" s="303"/>
      <c r="G107" s="303"/>
      <c r="H107" s="303"/>
      <c r="I107" s="303"/>
      <c r="J107" s="303"/>
      <c r="K107" s="303"/>
      <c r="L107" s="303"/>
      <c r="M107" s="303"/>
    </row>
    <row r="108" spans="2:13" s="97" customFormat="1" ht="15" hidden="1" customHeight="1" x14ac:dyDescent="0.35">
      <c r="C108" s="97" t="s">
        <v>198</v>
      </c>
      <c r="D108" s="97" t="s">
        <v>216</v>
      </c>
    </row>
    <row r="109" spans="2:13" s="97" customFormat="1" ht="18" hidden="1" customHeight="1" x14ac:dyDescent="0.35">
      <c r="C109" s="97" t="s">
        <v>200</v>
      </c>
      <c r="D109" s="97" t="s">
        <v>217</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65" customHeight="1" x14ac:dyDescent="0.35">
      <c r="J115" s="93" t="str">
        <f>J78</f>
        <v>Yang Melakukan Perjalanan Dinas,</v>
      </c>
    </row>
    <row r="116" spans="2:13" s="75" customFormat="1" ht="15" customHeight="1" x14ac:dyDescent="0.35"/>
    <row r="117" spans="2:13" s="75" customFormat="1" ht="15" customHeight="1" x14ac:dyDescent="0.35"/>
    <row r="118" spans="2:13" s="75" customFormat="1" ht="15" customHeight="1" x14ac:dyDescent="0.35"/>
    <row r="119" spans="2:13" s="75" customFormat="1" ht="15" customHeight="1" x14ac:dyDescent="0.35"/>
    <row r="120" spans="2:13" s="75" customFormat="1" ht="15.65" customHeight="1" x14ac:dyDescent="0.35">
      <c r="J120" s="93" t="e">
        <f>J31</f>
        <v>#REF!</v>
      </c>
    </row>
    <row r="121" spans="2:13" s="75" customFormat="1" ht="15.65" customHeight="1" x14ac:dyDescent="0.35">
      <c r="J121" s="93" t="s">
        <v>151</v>
      </c>
      <c r="K121" s="93">
        <f>K32</f>
        <v>0</v>
      </c>
    </row>
  </sheetData>
  <mergeCells count="51">
    <mergeCell ref="C114:M114"/>
    <mergeCell ref="C105:M105"/>
    <mergeCell ref="A1:M1"/>
    <mergeCell ref="B27:H27"/>
    <mergeCell ref="J25:K25"/>
    <mergeCell ref="H37:I37"/>
    <mergeCell ref="C10:I10"/>
    <mergeCell ref="C110:M110"/>
    <mergeCell ref="B9:I9"/>
    <mergeCell ref="J27:M27"/>
    <mergeCell ref="C106:M106"/>
    <mergeCell ref="D91:M91"/>
    <mergeCell ref="A21:M21"/>
    <mergeCell ref="D87:M87"/>
    <mergeCell ref="C60:F60"/>
    <mergeCell ref="L70:M70"/>
    <mergeCell ref="K2:M2"/>
    <mergeCell ref="A93:M93"/>
    <mergeCell ref="D64:E65"/>
    <mergeCell ref="D88:M88"/>
    <mergeCell ref="L15:M15"/>
    <mergeCell ref="L18:M18"/>
    <mergeCell ref="L71:M71"/>
    <mergeCell ref="B25:E25"/>
    <mergeCell ref="L14:M14"/>
    <mergeCell ref="L8:M8"/>
    <mergeCell ref="B8:I8"/>
    <mergeCell ref="A20:I20"/>
    <mergeCell ref="A51:M51"/>
    <mergeCell ref="D66:E66"/>
    <mergeCell ref="D90:M90"/>
    <mergeCell ref="D92:M92"/>
    <mergeCell ref="C107:M107"/>
    <mergeCell ref="D73:M73"/>
    <mergeCell ref="A96:M96"/>
    <mergeCell ref="D89:M89"/>
    <mergeCell ref="H39:I39"/>
    <mergeCell ref="D69:E69"/>
    <mergeCell ref="G6:I6"/>
    <mergeCell ref="L67:M67"/>
    <mergeCell ref="L16:M16"/>
    <mergeCell ref="A35:M35"/>
    <mergeCell ref="A4:M4"/>
    <mergeCell ref="L13:M13"/>
    <mergeCell ref="B12:I12"/>
    <mergeCell ref="L17:M17"/>
    <mergeCell ref="F64:K65"/>
    <mergeCell ref="L64:M65"/>
    <mergeCell ref="K32:M32"/>
    <mergeCell ref="H38:I38"/>
    <mergeCell ref="L19:M19"/>
  </mergeCells>
  <hyperlinks>
    <hyperlink ref="A1" location="'MENU'!A1" display="&lt;&lt; MENU" xr:uid="{00000000-0004-0000-0A00-000000000000}"/>
  </hyperlinks>
  <pageMargins left="0.39370078740157483" right="0.39370078740157483" top="0.74803149606299213" bottom="0.74803149606299213" header="0.31496062992125978" footer="0.31496062992125978"/>
  <pageSetup paperSize="9" scale="84"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S121"/>
  <sheetViews>
    <sheetView view="pageBreakPreview" topLeftCell="A49" zoomScale="90" zoomScaleNormal="100" zoomScaleSheetLayoutView="90" workbookViewId="0">
      <selection activeCell="G71" sqref="G71"/>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Disini'!G23</f>
        <v>W.16.IMI.IMI-6.KU.03.01-1638</v>
      </c>
      <c r="H5" s="24"/>
      <c r="I5" s="24"/>
      <c r="J5" s="24"/>
      <c r="K5" s="24"/>
      <c r="L5" s="24"/>
      <c r="M5" s="24"/>
      <c r="N5" s="24"/>
      <c r="O5" s="24"/>
    </row>
    <row r="6" spans="1:19" x14ac:dyDescent="0.35">
      <c r="A6" s="24" t="s">
        <v>110</v>
      </c>
      <c r="B6" s="24"/>
      <c r="C6" s="24"/>
      <c r="D6" s="24"/>
      <c r="E6" s="24"/>
      <c r="F6" s="69" t="s">
        <v>105</v>
      </c>
      <c r="G6" s="327">
        <f>'Isi Disini'!H23</f>
        <v>46170</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e">
        <f>Nominatif!#REF!</f>
        <v>#REF!</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I14+I15</f>
        <v>0</v>
      </c>
      <c r="L13" s="311"/>
      <c r="M13" s="236"/>
      <c r="N13" s="24"/>
      <c r="O13" s="24"/>
    </row>
    <row r="14" spans="1:19" ht="15" customHeight="1" x14ac:dyDescent="0.35">
      <c r="A14" s="33"/>
      <c r="B14" s="38"/>
      <c r="C14" s="39">
        <f>'Isi Disini'!M23</f>
        <v>0</v>
      </c>
      <c r="D14" s="40"/>
      <c r="E14" s="40"/>
      <c r="F14" s="40"/>
      <c r="G14" s="41"/>
      <c r="H14" s="40"/>
      <c r="I14" s="66">
        <f>'Isi Disini'!N23</f>
        <v>0</v>
      </c>
      <c r="J14" s="66"/>
      <c r="K14" s="65"/>
      <c r="L14" s="311" t="s">
        <v>165</v>
      </c>
      <c r="M14" s="236"/>
      <c r="N14" s="24"/>
      <c r="O14" s="24"/>
    </row>
    <row r="15" spans="1:19" ht="15" customHeight="1" x14ac:dyDescent="0.35">
      <c r="A15" s="33"/>
      <c r="B15" s="38"/>
      <c r="C15" s="39">
        <f>'Isi Disini'!O23</f>
        <v>0</v>
      </c>
      <c r="D15" s="40"/>
      <c r="E15" s="40"/>
      <c r="F15" s="40"/>
      <c r="G15" s="41"/>
      <c r="H15" s="40"/>
      <c r="I15" s="66">
        <f>'Isi Disini'!P23</f>
        <v>0</v>
      </c>
      <c r="J15" s="66"/>
      <c r="K15" s="65"/>
      <c r="L15" s="311" t="s">
        <v>165</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Disini'!L23</f>
        <v>0</v>
      </c>
      <c r="J16" s="66"/>
      <c r="K16" s="65">
        <f>G16*I16</f>
        <v>0</v>
      </c>
      <c r="L16" s="311" t="s">
        <v>166</v>
      </c>
      <c r="M16" s="236"/>
      <c r="N16" s="24"/>
      <c r="O16" s="24"/>
    </row>
    <row r="17" spans="1:15" ht="15" customHeight="1" x14ac:dyDescent="0.35">
      <c r="A17" s="33"/>
      <c r="B17" s="38" t="s">
        <v>80</v>
      </c>
      <c r="C17" s="39" t="s">
        <v>167</v>
      </c>
      <c r="D17" s="40"/>
      <c r="E17" s="40"/>
      <c r="F17" s="40"/>
      <c r="G17" s="41"/>
      <c r="H17" s="40"/>
      <c r="I17" s="66"/>
      <c r="J17" s="66"/>
      <c r="K17" s="65" t="e">
        <f>Nominatif!#REF!</f>
        <v>#REF!</v>
      </c>
      <c r="L17" s="311" t="s">
        <v>166</v>
      </c>
      <c r="M17" s="236"/>
      <c r="N17" s="24"/>
      <c r="O17" s="24"/>
    </row>
    <row r="18" spans="1:15" ht="15" customHeight="1" x14ac:dyDescent="0.35">
      <c r="A18" s="33"/>
      <c r="B18" s="38" t="s">
        <v>80</v>
      </c>
      <c r="C18" s="39" t="s">
        <v>168</v>
      </c>
      <c r="D18" s="40"/>
      <c r="E18" s="40"/>
      <c r="F18" s="40"/>
      <c r="G18" s="41"/>
      <c r="H18" s="40"/>
      <c r="I18" s="66"/>
      <c r="J18" s="66"/>
      <c r="K18" s="65" t="e">
        <f>Nominatif!#REF!+Nominatif!#REF!</f>
        <v>#REF!</v>
      </c>
      <c r="L18" s="311" t="s">
        <v>165</v>
      </c>
      <c r="M18" s="236"/>
      <c r="N18" s="24"/>
      <c r="O18" s="24"/>
    </row>
    <row r="19" spans="1:15" ht="15" customHeight="1" x14ac:dyDescent="0.35">
      <c r="A19" s="33"/>
      <c r="B19" s="38" t="s">
        <v>80</v>
      </c>
      <c r="C19" s="54" t="s">
        <v>169</v>
      </c>
      <c r="D19" s="40"/>
      <c r="E19" s="40"/>
      <c r="F19" s="40"/>
      <c r="G19" s="41"/>
      <c r="H19" s="40"/>
      <c r="I19" s="66"/>
      <c r="J19" s="66"/>
      <c r="K19" s="65" t="e">
        <f>Nominatif!#REF!</f>
        <v>#REF!</v>
      </c>
      <c r="L19" s="311" t="s">
        <v>166</v>
      </c>
      <c r="M19" s="236"/>
      <c r="N19" s="24"/>
      <c r="O19" s="24"/>
    </row>
    <row r="20" spans="1:15" ht="15" customHeight="1" thickBot="1" x14ac:dyDescent="0.4">
      <c r="A20" s="313" t="s">
        <v>118</v>
      </c>
      <c r="B20" s="258"/>
      <c r="C20" s="258"/>
      <c r="D20" s="258"/>
      <c r="E20" s="258"/>
      <c r="F20" s="258"/>
      <c r="G20" s="258"/>
      <c r="H20" s="258"/>
      <c r="I20" s="232"/>
      <c r="J20" s="60"/>
      <c r="K20" s="43" t="e">
        <f>SUM(K9:K19)</f>
        <v>#REF!</v>
      </c>
      <c r="L20" s="44"/>
      <c r="M20" s="45"/>
    </row>
    <row r="21" spans="1:15" ht="15" customHeight="1" thickBot="1" x14ac:dyDescent="0.4">
      <c r="A21" s="334" t="e">
        <f ca="1">PROPER([3]!terbilang(K20)&amp;" rupiah")</f>
        <v>#NAME?</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t="e">
        <f>K20</f>
        <v>#REF!</v>
      </c>
      <c r="C25" s="285"/>
      <c r="D25" s="285"/>
      <c r="E25" s="285"/>
      <c r="F25" s="47"/>
      <c r="G25" s="47"/>
      <c r="H25" s="47"/>
      <c r="I25" s="46"/>
      <c r="J25" s="321" t="e">
        <f>K20</f>
        <v>#REF!</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319" t="s">
        <v>91</v>
      </c>
      <c r="C31" s="285"/>
      <c r="D31" s="285"/>
      <c r="E31" s="285"/>
      <c r="F31" s="285"/>
      <c r="G31" s="285"/>
      <c r="H31" s="285"/>
      <c r="I31" s="24"/>
      <c r="J31" s="25" t="e">
        <f>C10</f>
        <v>#REF!</v>
      </c>
      <c r="K31" s="70"/>
      <c r="L31" s="70"/>
      <c r="M31" s="70"/>
    </row>
    <row r="32" spans="1:15" x14ac:dyDescent="0.35">
      <c r="A32" s="24"/>
      <c r="B32" s="25" t="s">
        <v>174</v>
      </c>
      <c r="C32" s="335" t="s">
        <v>220</v>
      </c>
      <c r="D32" s="285"/>
      <c r="E32" s="285"/>
      <c r="F32" s="285"/>
      <c r="G32" s="285"/>
      <c r="H32" s="285"/>
      <c r="I32" s="24"/>
      <c r="J32" s="25" t="str">
        <f>"NIP. "&amp;_xlfn.XLOOKUP('Isi Disini'!W44,'nama pegawai'!B:B,'nama pegawai'!C:C,"")</f>
        <v>NIP. 19840124 200212 1 002</v>
      </c>
      <c r="K32" s="319">
        <f>'Isi Disini'!C24</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t="e">
        <f>K20</f>
        <v>#REF!</v>
      </c>
      <c r="I37" s="285"/>
      <c r="J37" s="47"/>
      <c r="K37" s="24"/>
      <c r="L37" s="24"/>
      <c r="M37" s="24"/>
    </row>
    <row r="38" spans="1:14" x14ac:dyDescent="0.35">
      <c r="A38" s="24" t="s">
        <v>178</v>
      </c>
      <c r="B38" s="24"/>
      <c r="C38" s="24"/>
      <c r="D38" s="24"/>
      <c r="E38" s="24"/>
      <c r="F38" s="24"/>
      <c r="G38" s="51" t="s">
        <v>105</v>
      </c>
      <c r="H38" s="332" t="e">
        <f>B25</f>
        <v>#REF!</v>
      </c>
      <c r="I38" s="285"/>
      <c r="J38" s="52"/>
      <c r="K38" s="24"/>
      <c r="L38" s="24"/>
      <c r="M38" s="24"/>
      <c r="N38" s="68" t="s">
        <v>88</v>
      </c>
    </row>
    <row r="39" spans="1:14" x14ac:dyDescent="0.35">
      <c r="A39" s="24" t="s">
        <v>179</v>
      </c>
      <c r="B39" s="24"/>
      <c r="C39" s="24"/>
      <c r="D39" s="24"/>
      <c r="E39" s="24"/>
      <c r="F39" s="24"/>
      <c r="G39" s="51" t="s">
        <v>105</v>
      </c>
      <c r="H39" s="306" t="e">
        <f>H37-H38</f>
        <v>#REF!</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223</v>
      </c>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e">
        <f>C10</f>
        <v>#REF!</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Disini'!E23</f>
        <v>0</v>
      </c>
    </row>
    <row r="58" spans="1:13" s="75" customFormat="1" ht="15" customHeight="1" x14ac:dyDescent="0.35"/>
    <row r="59" spans="1:13" s="75" customFormat="1" ht="15" customHeight="1" x14ac:dyDescent="0.35">
      <c r="C59" s="75" t="s">
        <v>183</v>
      </c>
      <c r="J59" s="75" t="str">
        <f>G5</f>
        <v>W.16.IMI.IMI-6.KU.03.01-1638</v>
      </c>
      <c r="M59" s="75" t="s">
        <v>184</v>
      </c>
    </row>
    <row r="60" spans="1:13" s="75" customFormat="1" ht="15" customHeight="1" x14ac:dyDescent="0.35">
      <c r="C60" s="331">
        <f>G6</f>
        <v>46170</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Disini'!J23</f>
        <v>1</v>
      </c>
      <c r="G67" s="83" t="e">
        <f ca="1">PROPER([3]!terbilang(F67)) &amp; " hari x"</f>
        <v>#NAME?</v>
      </c>
      <c r="I67" s="84">
        <f>'Isi Disini'!L23</f>
        <v>0</v>
      </c>
      <c r="K67" s="85"/>
      <c r="L67" s="310">
        <f>F67*I67</f>
        <v>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Disini'!J23</f>
        <v>1</v>
      </c>
      <c r="G70" s="83" t="e">
        <f ca="1">PROPER([3]!terbilang(F67)) &amp; " hari x"</f>
        <v>#NAME?</v>
      </c>
      <c r="I70" s="84">
        <f>'Isi Disini'!T23</f>
        <v>0</v>
      </c>
      <c r="K70" s="85"/>
      <c r="L70" s="310">
        <f>F70*I70</f>
        <v>0</v>
      </c>
      <c r="M70" s="236"/>
    </row>
    <row r="71" spans="3:13" s="75" customFormat="1" ht="15.65" customHeight="1" x14ac:dyDescent="0.35">
      <c r="D71" s="88"/>
      <c r="E71" s="89"/>
      <c r="F71" s="90" t="s">
        <v>118</v>
      </c>
      <c r="G71" s="91"/>
      <c r="H71" s="91"/>
      <c r="I71" s="91"/>
      <c r="J71" s="91"/>
      <c r="K71" s="91"/>
      <c r="L71" s="307">
        <f>L67+L70</f>
        <v>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1" t="s">
        <v>221</v>
      </c>
      <c r="E83" s="93"/>
      <c r="J83" s="93" t="e">
        <f>J31</f>
        <v>#REF!</v>
      </c>
    </row>
    <row r="84" spans="1:13" s="75" customFormat="1" ht="15.65" customHeight="1" x14ac:dyDescent="0.35">
      <c r="D84" s="111" t="s">
        <v>222</v>
      </c>
      <c r="E84" s="94" t="s">
        <v>223</v>
      </c>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3" s="24" customFormat="1" ht="13.75" customHeight="1" x14ac:dyDescent="0.3">
      <c r="B98" s="24" t="s">
        <v>182</v>
      </c>
    </row>
    <row r="99" spans="2:13" s="24" customFormat="1" ht="13.75" customHeight="1" x14ac:dyDescent="0.3"/>
    <row r="100" spans="2:13" s="24" customFormat="1" ht="13.75" customHeight="1" x14ac:dyDescent="0.3">
      <c r="B100" s="24" t="s">
        <v>45</v>
      </c>
      <c r="D100" s="69" t="s">
        <v>105</v>
      </c>
      <c r="E100" s="24" t="e">
        <f>F55</f>
        <v>#REF!</v>
      </c>
    </row>
    <row r="101" spans="2:13" s="24" customFormat="1" ht="13.75" customHeight="1" x14ac:dyDescent="0.3">
      <c r="B101" s="24" t="s">
        <v>106</v>
      </c>
      <c r="D101" s="69" t="s">
        <v>105</v>
      </c>
      <c r="E101" s="24">
        <f>F56</f>
        <v>0</v>
      </c>
    </row>
    <row r="102" spans="2:13" s="24" customFormat="1" ht="13.75" customHeight="1" x14ac:dyDescent="0.3">
      <c r="B102" s="24" t="s">
        <v>47</v>
      </c>
      <c r="D102" s="69" t="s">
        <v>105</v>
      </c>
      <c r="E102" s="24">
        <f>F57</f>
        <v>0</v>
      </c>
    </row>
    <row r="103" spans="2:13" s="24" customFormat="1" ht="13.75" customHeight="1" x14ac:dyDescent="0.3"/>
    <row r="104" spans="2:13" s="75" customFormat="1" ht="15" customHeight="1" x14ac:dyDescent="0.35">
      <c r="B104" s="75" t="s">
        <v>194</v>
      </c>
    </row>
    <row r="105" spans="2:13" s="97" customFormat="1" ht="62.25"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35.25" customHeight="1" x14ac:dyDescent="0.35">
      <c r="B106" s="96" t="s">
        <v>140</v>
      </c>
      <c r="C106" s="302" t="s">
        <v>195</v>
      </c>
      <c r="D106" s="303"/>
      <c r="E106" s="303"/>
      <c r="F106" s="303"/>
      <c r="G106" s="303"/>
      <c r="H106" s="303"/>
      <c r="I106" s="303"/>
      <c r="J106" s="303"/>
      <c r="K106" s="303"/>
      <c r="L106" s="303"/>
      <c r="M106" s="303"/>
    </row>
    <row r="107" spans="2:13" s="97" customFormat="1" ht="23.25" hidden="1" customHeight="1" x14ac:dyDescent="0.35">
      <c r="B107" s="96" t="s">
        <v>196</v>
      </c>
      <c r="C107" s="302" t="s">
        <v>215</v>
      </c>
      <c r="D107" s="303"/>
      <c r="E107" s="303"/>
      <c r="F107" s="303"/>
      <c r="G107" s="303"/>
      <c r="H107" s="303"/>
      <c r="I107" s="303"/>
      <c r="J107" s="303"/>
      <c r="K107" s="303"/>
      <c r="L107" s="303"/>
      <c r="M107" s="303"/>
    </row>
    <row r="108" spans="2:13" s="97" customFormat="1" ht="15" hidden="1" customHeight="1" x14ac:dyDescent="0.35">
      <c r="C108" s="97" t="s">
        <v>198</v>
      </c>
      <c r="D108" s="97" t="s">
        <v>216</v>
      </c>
    </row>
    <row r="109" spans="2:13" s="97" customFormat="1" ht="18" hidden="1" customHeight="1" x14ac:dyDescent="0.35">
      <c r="C109" s="97" t="s">
        <v>200</v>
      </c>
      <c r="D109" s="97" t="s">
        <v>217</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65" customHeight="1" x14ac:dyDescent="0.35">
      <c r="J115" s="93" t="str">
        <f>J78</f>
        <v>Yang Melakukan Perjalanan Dinas,</v>
      </c>
    </row>
    <row r="116" spans="2:13" s="75" customFormat="1" ht="15" customHeight="1" x14ac:dyDescent="0.35"/>
    <row r="117" spans="2:13" s="75" customFormat="1" ht="15" customHeight="1" x14ac:dyDescent="0.35"/>
    <row r="118" spans="2:13" s="75" customFormat="1" ht="15" customHeight="1" x14ac:dyDescent="0.35"/>
    <row r="119" spans="2:13" s="75" customFormat="1" ht="15" customHeight="1" x14ac:dyDescent="0.35"/>
    <row r="120" spans="2:13" s="75" customFormat="1" ht="15.65" customHeight="1" x14ac:dyDescent="0.35">
      <c r="J120" s="93" t="e">
        <f>J31</f>
        <v>#REF!</v>
      </c>
    </row>
    <row r="121" spans="2:13" s="75" customFormat="1" ht="15.65" customHeight="1" x14ac:dyDescent="0.35">
      <c r="J121" s="93" t="s">
        <v>151</v>
      </c>
      <c r="K121" s="93">
        <f>K32</f>
        <v>0</v>
      </c>
    </row>
  </sheetData>
  <mergeCells count="53">
    <mergeCell ref="C114:M114"/>
    <mergeCell ref="C32:H32"/>
    <mergeCell ref="C105:M105"/>
    <mergeCell ref="A1:M1"/>
    <mergeCell ref="B27:H27"/>
    <mergeCell ref="J25:K25"/>
    <mergeCell ref="H37:I37"/>
    <mergeCell ref="C10:I10"/>
    <mergeCell ref="C110:M110"/>
    <mergeCell ref="B9:I9"/>
    <mergeCell ref="J27:M27"/>
    <mergeCell ref="C106:M106"/>
    <mergeCell ref="D91:M91"/>
    <mergeCell ref="A21:M21"/>
    <mergeCell ref="D87:M87"/>
    <mergeCell ref="C60:F60"/>
    <mergeCell ref="K2:M2"/>
    <mergeCell ref="A93:M93"/>
    <mergeCell ref="D64:E65"/>
    <mergeCell ref="D88:M88"/>
    <mergeCell ref="L15:M15"/>
    <mergeCell ref="L18:M18"/>
    <mergeCell ref="L71:M71"/>
    <mergeCell ref="B25:E25"/>
    <mergeCell ref="L14:M14"/>
    <mergeCell ref="L8:M8"/>
    <mergeCell ref="B8:I8"/>
    <mergeCell ref="A20:I20"/>
    <mergeCell ref="A51:M51"/>
    <mergeCell ref="B31:H31"/>
    <mergeCell ref="D66:E66"/>
    <mergeCell ref="D90:M90"/>
    <mergeCell ref="D92:M92"/>
    <mergeCell ref="L19:M19"/>
    <mergeCell ref="C107:M107"/>
    <mergeCell ref="D73:M73"/>
    <mergeCell ref="A96:M96"/>
    <mergeCell ref="D89:M89"/>
    <mergeCell ref="H39:I39"/>
    <mergeCell ref="L70:M70"/>
    <mergeCell ref="D69:E69"/>
    <mergeCell ref="G6:I6"/>
    <mergeCell ref="L67:M67"/>
    <mergeCell ref="L16:M16"/>
    <mergeCell ref="A35:M35"/>
    <mergeCell ref="A4:M4"/>
    <mergeCell ref="L13:M13"/>
    <mergeCell ref="B12:I12"/>
    <mergeCell ref="L17:M17"/>
    <mergeCell ref="F64:K65"/>
    <mergeCell ref="L64:M65"/>
    <mergeCell ref="K32:M32"/>
    <mergeCell ref="H38:I38"/>
  </mergeCells>
  <hyperlinks>
    <hyperlink ref="A1" location="'MENU'!A1" display="&lt;&lt; MENU" xr:uid="{00000000-0004-0000-0B00-000000000000}"/>
  </hyperlinks>
  <pageMargins left="0.39370078740157483" right="0.39370078740157483" top="0.74803149606299213" bottom="0.74803149606299213" header="0.31496062992125978" footer="0.31496062992125978"/>
  <pageSetup paperSize="9" scale="85"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S121"/>
  <sheetViews>
    <sheetView view="pageBreakPreview" zoomScale="90" zoomScaleNormal="100" zoomScaleSheetLayoutView="90" workbookViewId="0">
      <selection sqref="A1:M1"/>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Disini'!G25</f>
        <v>W.16.IMI.IMI-6.KU.03.01-1638</v>
      </c>
      <c r="H5" s="24"/>
      <c r="I5" s="24"/>
      <c r="J5" s="24"/>
      <c r="K5" s="24"/>
      <c r="L5" s="24"/>
      <c r="M5" s="24"/>
      <c r="N5" s="24"/>
      <c r="O5" s="24"/>
    </row>
    <row r="6" spans="1:19" x14ac:dyDescent="0.35">
      <c r="A6" s="24" t="s">
        <v>110</v>
      </c>
      <c r="B6" s="24"/>
      <c r="C6" s="24"/>
      <c r="D6" s="24"/>
      <c r="E6" s="24"/>
      <c r="F6" s="69" t="s">
        <v>105</v>
      </c>
      <c r="G6" s="327">
        <f>'Isi Disini'!H25</f>
        <v>46170</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e">
        <f>Nominatif!#REF!</f>
        <v>#REF!</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I14+I15</f>
        <v>0</v>
      </c>
      <c r="L13" s="311"/>
      <c r="M13" s="236"/>
      <c r="N13" s="24"/>
      <c r="O13" s="24"/>
    </row>
    <row r="14" spans="1:19" ht="15" customHeight="1" x14ac:dyDescent="0.35">
      <c r="A14" s="33"/>
      <c r="B14" s="38"/>
      <c r="C14" s="39">
        <f>'Isi Disini'!M25</f>
        <v>0</v>
      </c>
      <c r="D14" s="40"/>
      <c r="E14" s="40"/>
      <c r="F14" s="40"/>
      <c r="G14" s="41"/>
      <c r="H14" s="40"/>
      <c r="I14" s="66">
        <f>'Isi Disini'!N25</f>
        <v>0</v>
      </c>
      <c r="J14" s="66"/>
      <c r="K14" s="65"/>
      <c r="L14" s="311" t="s">
        <v>165</v>
      </c>
      <c r="M14" s="236"/>
      <c r="N14" s="24"/>
      <c r="O14" s="24"/>
    </row>
    <row r="15" spans="1:19" ht="15" customHeight="1" x14ac:dyDescent="0.35">
      <c r="A15" s="33"/>
      <c r="B15" s="38"/>
      <c r="C15" s="39">
        <f>'Isi Disini'!O25</f>
        <v>0</v>
      </c>
      <c r="D15" s="40"/>
      <c r="E15" s="40"/>
      <c r="F15" s="40"/>
      <c r="G15" s="41"/>
      <c r="H15" s="40"/>
      <c r="I15" s="66">
        <f>'Isi Disini'!P25</f>
        <v>0</v>
      </c>
      <c r="J15" s="66"/>
      <c r="K15" s="65"/>
      <c r="L15" s="311" t="s">
        <v>165</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Disini'!L25</f>
        <v>0</v>
      </c>
      <c r="J16" s="66"/>
      <c r="K16" s="65">
        <f>G16*I16</f>
        <v>0</v>
      </c>
      <c r="L16" s="311" t="s">
        <v>166</v>
      </c>
      <c r="M16" s="236"/>
      <c r="N16" s="24"/>
      <c r="O16" s="24"/>
    </row>
    <row r="17" spans="1:15" ht="15" customHeight="1" x14ac:dyDescent="0.35">
      <c r="A17" s="33"/>
      <c r="B17" s="38" t="s">
        <v>80</v>
      </c>
      <c r="C17" s="39" t="s">
        <v>167</v>
      </c>
      <c r="D17" s="40"/>
      <c r="E17" s="40"/>
      <c r="F17" s="40"/>
      <c r="G17" s="41"/>
      <c r="H17" s="40"/>
      <c r="I17" s="66"/>
      <c r="J17" s="66"/>
      <c r="K17" s="65" t="e">
        <f>Nominatif!#REF!</f>
        <v>#REF!</v>
      </c>
      <c r="L17" s="311" t="s">
        <v>166</v>
      </c>
      <c r="M17" s="236"/>
      <c r="N17" s="24"/>
      <c r="O17" s="24"/>
    </row>
    <row r="18" spans="1:15" ht="15" customHeight="1" x14ac:dyDescent="0.35">
      <c r="A18" s="33"/>
      <c r="B18" s="38" t="s">
        <v>80</v>
      </c>
      <c r="C18" s="39" t="s">
        <v>168</v>
      </c>
      <c r="D18" s="40"/>
      <c r="E18" s="40"/>
      <c r="F18" s="40"/>
      <c r="G18" s="41"/>
      <c r="H18" s="40"/>
      <c r="I18" s="66"/>
      <c r="J18" s="66"/>
      <c r="K18" s="65" t="e">
        <f>Nominatif!#REF!+Nominatif!#REF!</f>
        <v>#REF!</v>
      </c>
      <c r="L18" s="311" t="s">
        <v>165</v>
      </c>
      <c r="M18" s="236"/>
      <c r="N18" s="24"/>
      <c r="O18" s="24"/>
    </row>
    <row r="19" spans="1:15" ht="15" customHeight="1" x14ac:dyDescent="0.35">
      <c r="A19" s="33"/>
      <c r="B19" s="38" t="s">
        <v>80</v>
      </c>
      <c r="C19" s="54" t="s">
        <v>169</v>
      </c>
      <c r="D19" s="40"/>
      <c r="E19" s="40"/>
      <c r="F19" s="40"/>
      <c r="G19" s="41"/>
      <c r="H19" s="40"/>
      <c r="I19" s="66"/>
      <c r="J19" s="66"/>
      <c r="K19" s="65" t="e">
        <f>Nominatif!#REF!</f>
        <v>#REF!</v>
      </c>
      <c r="L19" s="311" t="s">
        <v>166</v>
      </c>
      <c r="M19" s="236"/>
      <c r="N19" s="24"/>
      <c r="O19" s="24"/>
    </row>
    <row r="20" spans="1:15" ht="15" customHeight="1" thickBot="1" x14ac:dyDescent="0.4">
      <c r="A20" s="313" t="s">
        <v>118</v>
      </c>
      <c r="B20" s="258"/>
      <c r="C20" s="258"/>
      <c r="D20" s="258"/>
      <c r="E20" s="258"/>
      <c r="F20" s="258"/>
      <c r="G20" s="258"/>
      <c r="H20" s="258"/>
      <c r="I20" s="232"/>
      <c r="J20" s="60"/>
      <c r="K20" s="43" t="e">
        <f>SUM(K9:K19)</f>
        <v>#REF!</v>
      </c>
      <c r="L20" s="44"/>
      <c r="M20" s="45"/>
    </row>
    <row r="21" spans="1:15" ht="15" customHeight="1" thickBot="1" x14ac:dyDescent="0.4">
      <c r="A21" s="334" t="e">
        <f ca="1">PROPER([3]!terbilang(K20)&amp;" rupiah")</f>
        <v>#NAME?</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t="e">
        <f>K20</f>
        <v>#REF!</v>
      </c>
      <c r="C25" s="285"/>
      <c r="D25" s="285"/>
      <c r="E25" s="285"/>
      <c r="F25" s="47"/>
      <c r="G25" s="47"/>
      <c r="H25" s="47"/>
      <c r="I25" s="46"/>
      <c r="J25" s="321" t="e">
        <f>K20</f>
        <v>#REF!</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319" t="s">
        <v>91</v>
      </c>
      <c r="C31" s="285"/>
      <c r="D31" s="285"/>
      <c r="E31" s="285"/>
      <c r="F31" s="285"/>
      <c r="G31" s="285"/>
      <c r="H31" s="285"/>
      <c r="I31" s="24"/>
      <c r="J31" s="25" t="e">
        <f>C10</f>
        <v>#REF!</v>
      </c>
      <c r="K31" s="70"/>
      <c r="L31" s="70"/>
      <c r="M31" s="70"/>
    </row>
    <row r="32" spans="1:15" x14ac:dyDescent="0.35">
      <c r="A32" s="24"/>
      <c r="B32" s="25" t="s">
        <v>174</v>
      </c>
      <c r="C32" s="335" t="s">
        <v>220</v>
      </c>
      <c r="D32" s="285"/>
      <c r="E32" s="285"/>
      <c r="F32" s="285"/>
      <c r="G32" s="285"/>
      <c r="H32" s="285"/>
      <c r="I32" s="24"/>
      <c r="J32" s="25" t="str">
        <f>"NIP. "&amp;_xlfn.XLOOKUP('Isi Disini'!W44,'nama pegawai'!B:B,'nama pegawai'!C:C,"")</f>
        <v>NIP. 19840124 200212 1 002</v>
      </c>
      <c r="K32" s="319">
        <f>'Isi Disini'!C26</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t="e">
        <f>K20</f>
        <v>#REF!</v>
      </c>
      <c r="I37" s="285"/>
      <c r="J37" s="47"/>
      <c r="K37" s="24"/>
      <c r="L37" s="24"/>
      <c r="M37" s="24"/>
    </row>
    <row r="38" spans="1:14" x14ac:dyDescent="0.35">
      <c r="A38" s="24" t="s">
        <v>178</v>
      </c>
      <c r="B38" s="24"/>
      <c r="C38" s="24"/>
      <c r="D38" s="24"/>
      <c r="E38" s="24"/>
      <c r="F38" s="24"/>
      <c r="G38" s="51" t="s">
        <v>105</v>
      </c>
      <c r="H38" s="332" t="e">
        <f>B25</f>
        <v>#REF!</v>
      </c>
      <c r="I38" s="285"/>
      <c r="J38" s="52"/>
      <c r="K38" s="24"/>
      <c r="L38" s="24"/>
      <c r="M38" s="24"/>
      <c r="N38" s="68" t="s">
        <v>88</v>
      </c>
    </row>
    <row r="39" spans="1:14" x14ac:dyDescent="0.35">
      <c r="A39" s="24" t="s">
        <v>179</v>
      </c>
      <c r="B39" s="24"/>
      <c r="C39" s="24"/>
      <c r="D39" s="24"/>
      <c r="E39" s="24"/>
      <c r="F39" s="24"/>
      <c r="G39" s="51" t="s">
        <v>105</v>
      </c>
      <c r="H39" s="306" t="e">
        <f>H37-H38</f>
        <v>#REF!</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223</v>
      </c>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e">
        <f>C10</f>
        <v>#REF!</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Disini'!E25</f>
        <v>0</v>
      </c>
    </row>
    <row r="58" spans="1:13" s="75" customFormat="1" ht="15" customHeight="1" x14ac:dyDescent="0.35"/>
    <row r="59" spans="1:13" s="75" customFormat="1" ht="15" customHeight="1" x14ac:dyDescent="0.35">
      <c r="C59" s="75" t="s">
        <v>183</v>
      </c>
      <c r="J59" s="75" t="str">
        <f>G5</f>
        <v>W.16.IMI.IMI-6.KU.03.01-1638</v>
      </c>
      <c r="M59" s="75" t="s">
        <v>184</v>
      </c>
    </row>
    <row r="60" spans="1:13" s="75" customFormat="1" ht="15" customHeight="1" x14ac:dyDescent="0.35">
      <c r="C60" s="331">
        <f>G6</f>
        <v>46170</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Disini'!J25</f>
        <v>1</v>
      </c>
      <c r="G67" s="83" t="e">
        <f ca="1">PROPER([3]!terbilang(F67)) &amp; " hari x"</f>
        <v>#NAME?</v>
      </c>
      <c r="I67" s="84">
        <f>'Isi Disini'!L25</f>
        <v>0</v>
      </c>
      <c r="K67" s="85"/>
      <c r="L67" s="310">
        <f>F67*I67</f>
        <v>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Disini'!J25</f>
        <v>1</v>
      </c>
      <c r="G70" s="83" t="e">
        <f ca="1">PROPER([3]!terbilang(F67)) &amp; " hari x"</f>
        <v>#NAME?</v>
      </c>
      <c r="I70" s="84">
        <f>'Isi Disini'!T25</f>
        <v>0</v>
      </c>
      <c r="K70" s="85"/>
      <c r="L70" s="310">
        <f>F70*I70</f>
        <v>0</v>
      </c>
      <c r="M70" s="236"/>
    </row>
    <row r="71" spans="3:13" s="75" customFormat="1" ht="15.65" customHeight="1" x14ac:dyDescent="0.35">
      <c r="D71" s="88"/>
      <c r="E71" s="89"/>
      <c r="F71" s="90" t="s">
        <v>118</v>
      </c>
      <c r="G71" s="91"/>
      <c r="H71" s="91"/>
      <c r="I71" s="91"/>
      <c r="J71" s="91"/>
      <c r="K71" s="91"/>
      <c r="L71" s="307">
        <f>L67+L70</f>
        <v>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1" t="s">
        <v>221</v>
      </c>
      <c r="E83" s="93"/>
      <c r="J83" s="93" t="e">
        <f>J31</f>
        <v>#REF!</v>
      </c>
    </row>
    <row r="84" spans="1:13" s="75" customFormat="1" ht="15.65" customHeight="1" x14ac:dyDescent="0.35">
      <c r="D84" s="111" t="s">
        <v>222</v>
      </c>
      <c r="E84" s="94" t="s">
        <v>223</v>
      </c>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3" s="24" customFormat="1" ht="13.75" customHeight="1" x14ac:dyDescent="0.3">
      <c r="B98" s="24" t="s">
        <v>182</v>
      </c>
    </row>
    <row r="99" spans="2:13" s="24" customFormat="1" ht="13.75" customHeight="1" x14ac:dyDescent="0.3"/>
    <row r="100" spans="2:13" s="24" customFormat="1" ht="13.75" customHeight="1" x14ac:dyDescent="0.3">
      <c r="B100" s="24" t="s">
        <v>45</v>
      </c>
      <c r="D100" s="69" t="s">
        <v>105</v>
      </c>
      <c r="E100" s="24" t="e">
        <f>F55</f>
        <v>#REF!</v>
      </c>
    </row>
    <row r="101" spans="2:13" s="24" customFormat="1" ht="13.75" customHeight="1" x14ac:dyDescent="0.3">
      <c r="B101" s="24" t="s">
        <v>106</v>
      </c>
      <c r="D101" s="69" t="s">
        <v>105</v>
      </c>
      <c r="E101" s="24">
        <f>F56</f>
        <v>0</v>
      </c>
    </row>
    <row r="102" spans="2:13" s="24" customFormat="1" ht="13.75" customHeight="1" x14ac:dyDescent="0.3">
      <c r="B102" s="24" t="s">
        <v>47</v>
      </c>
      <c r="D102" s="69" t="s">
        <v>105</v>
      </c>
      <c r="E102" s="24">
        <f>F57</f>
        <v>0</v>
      </c>
    </row>
    <row r="103" spans="2:13" s="24" customFormat="1" ht="13.75" customHeight="1" x14ac:dyDescent="0.3"/>
    <row r="104" spans="2:13" s="75" customFormat="1" ht="15" customHeight="1" x14ac:dyDescent="0.35">
      <c r="B104" s="75" t="s">
        <v>194</v>
      </c>
    </row>
    <row r="105" spans="2:13" s="97" customFormat="1" ht="62.25"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35.25" customHeight="1" x14ac:dyDescent="0.35">
      <c r="B106" s="96" t="s">
        <v>140</v>
      </c>
      <c r="C106" s="302" t="s">
        <v>195</v>
      </c>
      <c r="D106" s="303"/>
      <c r="E106" s="303"/>
      <c r="F106" s="303"/>
      <c r="G106" s="303"/>
      <c r="H106" s="303"/>
      <c r="I106" s="303"/>
      <c r="J106" s="303"/>
      <c r="K106" s="303"/>
      <c r="L106" s="303"/>
      <c r="M106" s="303"/>
    </row>
    <row r="107" spans="2:13" s="97" customFormat="1" ht="23.25" hidden="1" customHeight="1" x14ac:dyDescent="0.35">
      <c r="B107" s="96" t="s">
        <v>196</v>
      </c>
      <c r="C107" s="302" t="s">
        <v>215</v>
      </c>
      <c r="D107" s="303"/>
      <c r="E107" s="303"/>
      <c r="F107" s="303"/>
      <c r="G107" s="303"/>
      <c r="H107" s="303"/>
      <c r="I107" s="303"/>
      <c r="J107" s="303"/>
      <c r="K107" s="303"/>
      <c r="L107" s="303"/>
      <c r="M107" s="303"/>
    </row>
    <row r="108" spans="2:13" s="97" customFormat="1" ht="15" hidden="1" customHeight="1" x14ac:dyDescent="0.35">
      <c r="C108" s="97" t="s">
        <v>198</v>
      </c>
      <c r="D108" s="97" t="s">
        <v>216</v>
      </c>
    </row>
    <row r="109" spans="2:13" s="97" customFormat="1" ht="18" hidden="1" customHeight="1" x14ac:dyDescent="0.35">
      <c r="C109" s="97" t="s">
        <v>200</v>
      </c>
      <c r="D109" s="97" t="s">
        <v>217</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65" customHeight="1" x14ac:dyDescent="0.35">
      <c r="J115" s="93" t="str">
        <f>J78</f>
        <v>Yang Melakukan Perjalanan Dinas,</v>
      </c>
    </row>
    <row r="116" spans="2:13" s="75" customFormat="1" ht="15" customHeight="1" x14ac:dyDescent="0.35"/>
    <row r="117" spans="2:13" s="75" customFormat="1" ht="15" customHeight="1" x14ac:dyDescent="0.35"/>
    <row r="118" spans="2:13" s="75" customFormat="1" ht="15" customHeight="1" x14ac:dyDescent="0.35"/>
    <row r="119" spans="2:13" s="75" customFormat="1" ht="15" customHeight="1" x14ac:dyDescent="0.35"/>
    <row r="120" spans="2:13" s="75" customFormat="1" ht="15.65" customHeight="1" x14ac:dyDescent="0.35">
      <c r="J120" s="93" t="e">
        <f>J31</f>
        <v>#REF!</v>
      </c>
    </row>
    <row r="121" spans="2:13" s="75" customFormat="1" ht="15.65" customHeight="1" x14ac:dyDescent="0.35">
      <c r="J121" s="93" t="s">
        <v>151</v>
      </c>
      <c r="K121" s="93">
        <f>K32</f>
        <v>0</v>
      </c>
    </row>
  </sheetData>
  <mergeCells count="53">
    <mergeCell ref="C114:M114"/>
    <mergeCell ref="C32:H32"/>
    <mergeCell ref="C105:M105"/>
    <mergeCell ref="A1:M1"/>
    <mergeCell ref="B27:H27"/>
    <mergeCell ref="J25:K25"/>
    <mergeCell ref="H37:I37"/>
    <mergeCell ref="C10:I10"/>
    <mergeCell ref="C110:M110"/>
    <mergeCell ref="B9:I9"/>
    <mergeCell ref="J27:M27"/>
    <mergeCell ref="C106:M106"/>
    <mergeCell ref="D91:M91"/>
    <mergeCell ref="A21:M21"/>
    <mergeCell ref="D87:M87"/>
    <mergeCell ref="C60:F60"/>
    <mergeCell ref="K2:M2"/>
    <mergeCell ref="A93:M93"/>
    <mergeCell ref="D64:E65"/>
    <mergeCell ref="D88:M88"/>
    <mergeCell ref="L15:M15"/>
    <mergeCell ref="L18:M18"/>
    <mergeCell ref="L71:M71"/>
    <mergeCell ref="B25:E25"/>
    <mergeCell ref="L14:M14"/>
    <mergeCell ref="L8:M8"/>
    <mergeCell ref="B8:I8"/>
    <mergeCell ref="A20:I20"/>
    <mergeCell ref="A51:M51"/>
    <mergeCell ref="B31:H31"/>
    <mergeCell ref="D66:E66"/>
    <mergeCell ref="D90:M90"/>
    <mergeCell ref="D92:M92"/>
    <mergeCell ref="L19:M19"/>
    <mergeCell ref="C107:M107"/>
    <mergeCell ref="D73:M73"/>
    <mergeCell ref="A96:M96"/>
    <mergeCell ref="D89:M89"/>
    <mergeCell ref="H39:I39"/>
    <mergeCell ref="L70:M70"/>
    <mergeCell ref="D69:E69"/>
    <mergeCell ref="G6:I6"/>
    <mergeCell ref="L67:M67"/>
    <mergeCell ref="L16:M16"/>
    <mergeCell ref="A35:M35"/>
    <mergeCell ref="A4:M4"/>
    <mergeCell ref="L13:M13"/>
    <mergeCell ref="B12:I12"/>
    <mergeCell ref="L17:M17"/>
    <mergeCell ref="F64:K65"/>
    <mergeCell ref="L64:M65"/>
    <mergeCell ref="K32:M32"/>
    <mergeCell ref="H38:I38"/>
  </mergeCells>
  <hyperlinks>
    <hyperlink ref="A1" location="'MENU'!A1" display="&lt;&lt; MENU" xr:uid="{00000000-0004-0000-0C00-000000000000}"/>
  </hyperlinks>
  <pageMargins left="0.39370078740157483" right="0.39370078740157483" top="0.74803149606299213" bottom="0.74803149606299213" header="0.31496062992125978" footer="0.31496062992125978"/>
  <pageSetup paperSize="9" scale="85"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S121"/>
  <sheetViews>
    <sheetView view="pageBreakPreview" topLeftCell="A73" zoomScale="90" zoomScaleNormal="100" zoomScaleSheetLayoutView="90" workbookViewId="0">
      <selection activeCell="G72" sqref="G72"/>
    </sheetView>
  </sheetViews>
  <sheetFormatPr defaultColWidth="9.08984375" defaultRowHeight="14.5" x14ac:dyDescent="0.35"/>
  <cols>
    <col min="1" max="1" width="4" style="23" customWidth="1"/>
    <col min="2" max="2" width="5.453125" style="23" customWidth="1"/>
    <col min="3" max="3" width="4" style="23" customWidth="1"/>
    <col min="4" max="4" width="5.08984375" style="23" customWidth="1"/>
    <col min="5" max="5" width="5.453125" style="23" customWidth="1"/>
    <col min="6" max="6" width="8" style="23" customWidth="1"/>
    <col min="7" max="7" width="4" style="23" customWidth="1"/>
    <col min="8" max="8" width="13" style="23" customWidth="1"/>
    <col min="9" max="9" width="17.453125" style="23" customWidth="1"/>
    <col min="10" max="10" width="5.36328125" style="23" customWidth="1"/>
    <col min="11" max="11" width="19" style="23" customWidth="1"/>
    <col min="12" max="12" width="13.08984375" style="23" customWidth="1"/>
    <col min="13" max="13" width="9" style="23" customWidth="1"/>
    <col min="14" max="14" width="9.08984375" style="23" customWidth="1"/>
    <col min="15" max="16384" width="9.08984375" style="23"/>
  </cols>
  <sheetData>
    <row r="1" spans="1:19" x14ac:dyDescent="0.35">
      <c r="A1" s="318" t="s">
        <v>34</v>
      </c>
      <c r="B1" s="285"/>
      <c r="C1" s="285"/>
      <c r="D1" s="285"/>
      <c r="E1" s="285"/>
      <c r="F1" s="285"/>
      <c r="G1" s="285"/>
      <c r="H1" s="285"/>
      <c r="I1" s="285"/>
      <c r="J1" s="285"/>
      <c r="K1" s="285"/>
      <c r="L1" s="285"/>
      <c r="M1" s="285"/>
    </row>
    <row r="2" spans="1:19" ht="56.25" customHeight="1" x14ac:dyDescent="0.35">
      <c r="K2" s="323" t="s">
        <v>155</v>
      </c>
      <c r="L2" s="285"/>
      <c r="M2" s="285"/>
      <c r="N2" s="24"/>
      <c r="O2" s="24"/>
      <c r="P2" s="24"/>
      <c r="Q2" s="24"/>
    </row>
    <row r="4" spans="1:19" s="100" customFormat="1" ht="23.25" customHeight="1" x14ac:dyDescent="0.35">
      <c r="A4" s="325" t="s">
        <v>156</v>
      </c>
      <c r="B4" s="326"/>
      <c r="C4" s="326"/>
      <c r="D4" s="326"/>
      <c r="E4" s="326"/>
      <c r="F4" s="326"/>
      <c r="G4" s="326"/>
      <c r="H4" s="326"/>
      <c r="I4" s="326"/>
      <c r="J4" s="326"/>
      <c r="K4" s="326"/>
      <c r="L4" s="326"/>
      <c r="M4" s="326"/>
      <c r="N4" s="99"/>
      <c r="O4" s="99"/>
    </row>
    <row r="5" spans="1:19" x14ac:dyDescent="0.35">
      <c r="A5" s="24" t="s">
        <v>157</v>
      </c>
      <c r="B5" s="24"/>
      <c r="C5" s="24"/>
      <c r="D5" s="24"/>
      <c r="E5" s="24"/>
      <c r="F5" s="69" t="s">
        <v>105</v>
      </c>
      <c r="G5" s="24" t="str">
        <f>'Isi Disini'!G27</f>
        <v>W.16.IMI.IMI-6.KU.03.01-1638</v>
      </c>
      <c r="H5" s="24"/>
      <c r="I5" s="24"/>
      <c r="J5" s="24"/>
      <c r="K5" s="24"/>
      <c r="L5" s="24"/>
      <c r="M5" s="24"/>
      <c r="N5" s="24"/>
      <c r="O5" s="24"/>
    </row>
    <row r="6" spans="1:19" x14ac:dyDescent="0.35">
      <c r="A6" s="24" t="s">
        <v>110</v>
      </c>
      <c r="B6" s="24"/>
      <c r="C6" s="24"/>
      <c r="D6" s="24"/>
      <c r="E6" s="24"/>
      <c r="F6" s="69" t="s">
        <v>105</v>
      </c>
      <c r="G6" s="327">
        <f>'Isi Disini'!H27</f>
        <v>46170</v>
      </c>
      <c r="H6" s="285"/>
      <c r="I6" s="285"/>
      <c r="J6" s="24"/>
      <c r="K6" s="24"/>
      <c r="L6" s="24"/>
      <c r="M6" s="24"/>
      <c r="N6" s="24"/>
      <c r="O6" s="24"/>
    </row>
    <row r="7" spans="1:19" x14ac:dyDescent="0.35">
      <c r="A7" s="24"/>
      <c r="B7" s="24"/>
      <c r="C7" s="24"/>
      <c r="D7" s="24"/>
      <c r="E7" s="24"/>
      <c r="F7" s="24"/>
      <c r="G7" s="24"/>
      <c r="H7" s="24"/>
      <c r="I7" s="24"/>
      <c r="J7" s="24"/>
      <c r="K7" s="24"/>
      <c r="L7" s="24"/>
      <c r="M7" s="24"/>
      <c r="N7" s="24"/>
      <c r="O7" s="24"/>
    </row>
    <row r="8" spans="1:19" x14ac:dyDescent="0.35">
      <c r="A8" s="26" t="s">
        <v>158</v>
      </c>
      <c r="B8" s="324" t="s">
        <v>159</v>
      </c>
      <c r="C8" s="258"/>
      <c r="D8" s="258"/>
      <c r="E8" s="258"/>
      <c r="F8" s="258"/>
      <c r="G8" s="258"/>
      <c r="H8" s="258"/>
      <c r="I8" s="232"/>
      <c r="J8" s="56"/>
      <c r="K8" s="26" t="s">
        <v>160</v>
      </c>
      <c r="L8" s="324" t="s">
        <v>4</v>
      </c>
      <c r="M8" s="232"/>
      <c r="N8" s="27"/>
      <c r="O8" s="24"/>
      <c r="P8" s="28"/>
    </row>
    <row r="9" spans="1:19" ht="15" customHeight="1" x14ac:dyDescent="0.35">
      <c r="A9" s="29">
        <v>1</v>
      </c>
      <c r="B9" s="328" t="str">
        <f>'Isi Disini'!C4</f>
        <v>Pengelolaan Teknologi Informasi Keimigrasian</v>
      </c>
      <c r="C9" s="262"/>
      <c r="D9" s="262"/>
      <c r="E9" s="262"/>
      <c r="F9" s="262"/>
      <c r="G9" s="262"/>
      <c r="H9" s="262"/>
      <c r="I9" s="234"/>
      <c r="J9" s="57"/>
      <c r="K9" s="30"/>
      <c r="L9" s="31"/>
      <c r="M9" s="32"/>
      <c r="N9" s="24"/>
      <c r="O9" s="24"/>
    </row>
    <row r="10" spans="1:19" x14ac:dyDescent="0.35">
      <c r="A10" s="33"/>
      <c r="B10" s="34" t="s">
        <v>161</v>
      </c>
      <c r="C10" s="322" t="e">
        <f>Nominatif!#REF!</f>
        <v>#REF!</v>
      </c>
      <c r="D10" s="285"/>
      <c r="E10" s="285"/>
      <c r="F10" s="285"/>
      <c r="G10" s="285"/>
      <c r="H10" s="285"/>
      <c r="I10" s="236"/>
      <c r="J10" s="58"/>
      <c r="K10" s="35"/>
      <c r="L10" s="36"/>
      <c r="M10" s="37"/>
      <c r="N10" s="24"/>
      <c r="O10" s="24"/>
      <c r="S10" s="23" t="s">
        <v>88</v>
      </c>
    </row>
    <row r="11" spans="1:19" x14ac:dyDescent="0.35">
      <c r="A11" s="33"/>
      <c r="B11" s="36" t="str">
        <f>'Isi Disini'!E4</f>
        <v>Tanggal 6 sd 8 Mei 2026</v>
      </c>
      <c r="C11" s="24"/>
      <c r="D11" s="24"/>
      <c r="E11" s="24"/>
      <c r="F11" s="24"/>
      <c r="G11" s="24"/>
      <c r="H11" s="24"/>
      <c r="I11" s="37"/>
      <c r="J11" s="37"/>
      <c r="K11" s="35"/>
      <c r="L11" s="36"/>
      <c r="M11" s="37"/>
      <c r="N11" s="24"/>
      <c r="O11" s="24"/>
    </row>
    <row r="12" spans="1:19" x14ac:dyDescent="0.35">
      <c r="A12" s="33"/>
      <c r="B12" s="305" t="s">
        <v>162</v>
      </c>
      <c r="C12" s="285"/>
      <c r="D12" s="285"/>
      <c r="E12" s="285"/>
      <c r="F12" s="285"/>
      <c r="G12" s="285"/>
      <c r="H12" s="285"/>
      <c r="I12" s="236"/>
      <c r="J12" s="59"/>
      <c r="K12" s="35"/>
      <c r="L12" s="36"/>
      <c r="M12" s="37"/>
      <c r="N12" s="24"/>
      <c r="O12" s="24"/>
    </row>
    <row r="13" spans="1:19" ht="15" customHeight="1" x14ac:dyDescent="0.35">
      <c r="A13" s="33"/>
      <c r="B13" s="38" t="s">
        <v>80</v>
      </c>
      <c r="C13" s="39" t="s">
        <v>163</v>
      </c>
      <c r="D13" s="40"/>
      <c r="E13" s="40"/>
      <c r="F13" s="40"/>
      <c r="G13" s="41"/>
      <c r="H13" s="40"/>
      <c r="I13" s="42"/>
      <c r="J13" s="42"/>
      <c r="K13" s="65">
        <f>I14+I15</f>
        <v>0</v>
      </c>
      <c r="L13" s="311"/>
      <c r="M13" s="236"/>
      <c r="N13" s="24"/>
      <c r="O13" s="24"/>
    </row>
    <row r="14" spans="1:19" ht="15" customHeight="1" x14ac:dyDescent="0.35">
      <c r="A14" s="33"/>
      <c r="B14" s="38"/>
      <c r="C14" s="39">
        <f>'Isi Disini'!M27</f>
        <v>0</v>
      </c>
      <c r="D14" s="40"/>
      <c r="E14" s="40"/>
      <c r="F14" s="40"/>
      <c r="G14" s="41"/>
      <c r="H14" s="40"/>
      <c r="I14" s="66">
        <f>'Isi Disini'!N27</f>
        <v>0</v>
      </c>
      <c r="J14" s="66"/>
      <c r="K14" s="65"/>
      <c r="L14" s="311" t="s">
        <v>165</v>
      </c>
      <c r="M14" s="236"/>
      <c r="N14" s="24"/>
      <c r="O14" s="24"/>
    </row>
    <row r="15" spans="1:19" ht="15" customHeight="1" x14ac:dyDescent="0.35">
      <c r="A15" s="33"/>
      <c r="B15" s="38"/>
      <c r="C15" s="39">
        <f>'Isi Disini'!O27</f>
        <v>0</v>
      </c>
      <c r="D15" s="40"/>
      <c r="E15" s="40"/>
      <c r="F15" s="40"/>
      <c r="G15" s="41"/>
      <c r="H15" s="40"/>
      <c r="I15" s="66">
        <f>'Isi Disini'!P27</f>
        <v>0</v>
      </c>
      <c r="J15" s="66"/>
      <c r="K15" s="65"/>
      <c r="L15" s="311" t="s">
        <v>165</v>
      </c>
      <c r="M15" s="236"/>
      <c r="N15" s="24"/>
      <c r="O15" s="24"/>
      <c r="P15" s="95" t="s">
        <v>88</v>
      </c>
    </row>
    <row r="16" spans="1:19" ht="15" customHeight="1" x14ac:dyDescent="0.35">
      <c r="A16" s="33"/>
      <c r="B16" s="38" t="s">
        <v>80</v>
      </c>
      <c r="C16" s="39" t="s">
        <v>56</v>
      </c>
      <c r="D16" s="40"/>
      <c r="E16" s="40"/>
      <c r="F16" s="40"/>
      <c r="G16" s="61">
        <f>'Isi Disini'!J13</f>
        <v>1</v>
      </c>
      <c r="H16" s="67" t="s">
        <v>134</v>
      </c>
      <c r="I16" s="66">
        <f>'Isi Disini'!L27</f>
        <v>0</v>
      </c>
      <c r="J16" s="66"/>
      <c r="K16" s="65">
        <f>G16*I16</f>
        <v>0</v>
      </c>
      <c r="L16" s="311" t="s">
        <v>166</v>
      </c>
      <c r="M16" s="236"/>
      <c r="N16" s="24"/>
      <c r="O16" s="24"/>
    </row>
    <row r="17" spans="1:15" ht="15" customHeight="1" x14ac:dyDescent="0.35">
      <c r="A17" s="33"/>
      <c r="B17" s="38" t="s">
        <v>80</v>
      </c>
      <c r="C17" s="39" t="s">
        <v>167</v>
      </c>
      <c r="D17" s="40"/>
      <c r="E17" s="40"/>
      <c r="F17" s="40"/>
      <c r="G17" s="41"/>
      <c r="H17" s="40"/>
      <c r="I17" s="66"/>
      <c r="J17" s="66"/>
      <c r="K17" s="65" t="e">
        <f>Nominatif!#REF!</f>
        <v>#REF!</v>
      </c>
      <c r="L17" s="311" t="s">
        <v>166</v>
      </c>
      <c r="M17" s="236"/>
      <c r="N17" s="24"/>
      <c r="O17" s="24"/>
    </row>
    <row r="18" spans="1:15" ht="15" customHeight="1" x14ac:dyDescent="0.35">
      <c r="A18" s="33"/>
      <c r="B18" s="38" t="s">
        <v>80</v>
      </c>
      <c r="C18" s="39" t="s">
        <v>168</v>
      </c>
      <c r="D18" s="40"/>
      <c r="E18" s="40"/>
      <c r="F18" s="40"/>
      <c r="G18" s="41"/>
      <c r="H18" s="40"/>
      <c r="I18" s="66"/>
      <c r="J18" s="66"/>
      <c r="K18" s="65" t="e">
        <f>Nominatif!#REF!+Nominatif!#REF!</f>
        <v>#REF!</v>
      </c>
      <c r="L18" s="311" t="s">
        <v>165</v>
      </c>
      <c r="M18" s="236"/>
      <c r="N18" s="24"/>
      <c r="O18" s="24"/>
    </row>
    <row r="19" spans="1:15" ht="15" customHeight="1" x14ac:dyDescent="0.35">
      <c r="A19" s="33"/>
      <c r="B19" s="38" t="s">
        <v>80</v>
      </c>
      <c r="C19" s="54" t="s">
        <v>169</v>
      </c>
      <c r="D19" s="40"/>
      <c r="E19" s="40"/>
      <c r="F19" s="40"/>
      <c r="G19" s="41"/>
      <c r="H19" s="40"/>
      <c r="I19" s="66"/>
      <c r="J19" s="66"/>
      <c r="K19" s="65" t="e">
        <f>Nominatif!#REF!</f>
        <v>#REF!</v>
      </c>
      <c r="L19" s="311" t="s">
        <v>166</v>
      </c>
      <c r="M19" s="236"/>
      <c r="N19" s="24"/>
      <c r="O19" s="24"/>
    </row>
    <row r="20" spans="1:15" ht="15" customHeight="1" thickBot="1" x14ac:dyDescent="0.4">
      <c r="A20" s="313" t="s">
        <v>118</v>
      </c>
      <c r="B20" s="258"/>
      <c r="C20" s="258"/>
      <c r="D20" s="258"/>
      <c r="E20" s="258"/>
      <c r="F20" s="258"/>
      <c r="G20" s="258"/>
      <c r="H20" s="258"/>
      <c r="I20" s="232"/>
      <c r="J20" s="60"/>
      <c r="K20" s="43" t="e">
        <f>SUM(K9:K19)</f>
        <v>#REF!</v>
      </c>
      <c r="L20" s="44"/>
      <c r="M20" s="45"/>
    </row>
    <row r="21" spans="1:15" ht="15" customHeight="1" thickBot="1" x14ac:dyDescent="0.4">
      <c r="A21" s="334" t="e">
        <f ca="1">PROPER([3]!terbilang(K20)&amp;" rupiah")</f>
        <v>#NAME?</v>
      </c>
      <c r="B21" s="276"/>
      <c r="C21" s="276"/>
      <c r="D21" s="276"/>
      <c r="E21" s="276"/>
      <c r="F21" s="276"/>
      <c r="G21" s="276"/>
      <c r="H21" s="276"/>
      <c r="I21" s="276"/>
      <c r="J21" s="276"/>
      <c r="K21" s="276"/>
      <c r="L21" s="276"/>
      <c r="M21" s="330"/>
    </row>
    <row r="22" spans="1:15" x14ac:dyDescent="0.35">
      <c r="A22" s="24"/>
      <c r="B22" s="24"/>
      <c r="C22" s="24"/>
      <c r="D22" s="24"/>
      <c r="E22" s="24"/>
      <c r="F22" s="24"/>
      <c r="G22" s="24"/>
      <c r="H22" s="24"/>
      <c r="I22" s="24"/>
      <c r="J22" s="24"/>
      <c r="K22" s="46"/>
      <c r="L22" s="24"/>
      <c r="M22" s="24"/>
    </row>
    <row r="23" spans="1:15" x14ac:dyDescent="0.35">
      <c r="A23" s="24"/>
      <c r="B23" s="24"/>
      <c r="C23" s="24"/>
      <c r="D23" s="24"/>
      <c r="E23" s="24"/>
      <c r="F23" s="24"/>
      <c r="G23" s="24"/>
      <c r="H23" s="24"/>
      <c r="I23" s="24"/>
      <c r="J23" s="24" t="str">
        <f>Nominatif!Q19</f>
        <v>Pontianak,</v>
      </c>
      <c r="K23" s="24"/>
      <c r="L23" s="24"/>
      <c r="M23" s="24"/>
    </row>
    <row r="24" spans="1:15" x14ac:dyDescent="0.35">
      <c r="A24" s="24"/>
      <c r="B24" s="24" t="s">
        <v>171</v>
      </c>
      <c r="C24" s="24"/>
      <c r="D24" s="24"/>
      <c r="E24" s="24"/>
      <c r="F24" s="24"/>
      <c r="G24" s="24"/>
      <c r="H24" s="24"/>
      <c r="I24" s="24"/>
      <c r="J24" s="24" t="s">
        <v>172</v>
      </c>
      <c r="K24" s="24"/>
      <c r="L24" s="24"/>
      <c r="M24" s="24"/>
    </row>
    <row r="25" spans="1:15" x14ac:dyDescent="0.35">
      <c r="A25" s="24"/>
      <c r="B25" s="321" t="e">
        <f>K20</f>
        <v>#REF!</v>
      </c>
      <c r="C25" s="285"/>
      <c r="D25" s="285"/>
      <c r="E25" s="285"/>
      <c r="F25" s="47"/>
      <c r="G25" s="47"/>
      <c r="H25" s="47"/>
      <c r="I25" s="46"/>
      <c r="J25" s="321" t="e">
        <f>K20</f>
        <v>#REF!</v>
      </c>
      <c r="K25" s="285"/>
      <c r="L25" s="24"/>
      <c r="M25" s="24"/>
    </row>
    <row r="26" spans="1:15" x14ac:dyDescent="0.35">
      <c r="A26" s="24"/>
      <c r="B26" s="24"/>
      <c r="C26" s="24"/>
      <c r="D26" s="24"/>
      <c r="E26" s="24"/>
      <c r="F26" s="24"/>
      <c r="G26" s="24"/>
      <c r="H26" s="24"/>
      <c r="I26" s="24"/>
      <c r="J26" s="24"/>
      <c r="K26" s="24"/>
      <c r="L26" s="24"/>
      <c r="M26" s="24"/>
    </row>
    <row r="27" spans="1:15" x14ac:dyDescent="0.35">
      <c r="A27" s="24"/>
      <c r="B27" s="319" t="s">
        <v>89</v>
      </c>
      <c r="C27" s="285"/>
      <c r="D27" s="285"/>
      <c r="E27" s="285"/>
      <c r="F27" s="285"/>
      <c r="G27" s="285"/>
      <c r="H27" s="285"/>
      <c r="I27" s="24"/>
      <c r="J27" s="319" t="s">
        <v>173</v>
      </c>
      <c r="K27" s="285"/>
      <c r="L27" s="285"/>
      <c r="M27" s="285"/>
    </row>
    <row r="28" spans="1:15" x14ac:dyDescent="0.35">
      <c r="A28" s="24"/>
      <c r="B28" s="48"/>
      <c r="C28" s="48"/>
      <c r="D28" s="48"/>
      <c r="E28" s="48"/>
      <c r="F28" s="48"/>
      <c r="G28" s="48"/>
      <c r="H28" s="48"/>
      <c r="I28" s="24"/>
      <c r="J28" s="24"/>
      <c r="K28" s="24"/>
      <c r="L28" s="24"/>
      <c r="M28" s="24"/>
    </row>
    <row r="29" spans="1:15" x14ac:dyDescent="0.35">
      <c r="A29" s="24"/>
      <c r="B29" s="48"/>
      <c r="C29" s="48"/>
      <c r="D29" s="48"/>
      <c r="E29" s="48"/>
      <c r="F29" s="48"/>
      <c r="G29" s="48"/>
      <c r="H29" s="48"/>
      <c r="I29" s="24"/>
      <c r="J29" s="24"/>
      <c r="K29" s="24"/>
      <c r="L29" s="24"/>
      <c r="M29" s="24"/>
    </row>
    <row r="30" spans="1:15" x14ac:dyDescent="0.35">
      <c r="A30" s="24"/>
      <c r="B30" s="48"/>
      <c r="C30" s="48"/>
      <c r="D30" s="48"/>
      <c r="E30" s="48"/>
      <c r="F30" s="48"/>
      <c r="G30" s="48"/>
      <c r="H30" s="48"/>
      <c r="I30" s="24"/>
      <c r="J30" s="24"/>
      <c r="K30" s="24"/>
      <c r="L30" s="24"/>
      <c r="M30" s="24"/>
    </row>
    <row r="31" spans="1:15" x14ac:dyDescent="0.35">
      <c r="A31" s="24"/>
      <c r="B31" s="319" t="s">
        <v>91</v>
      </c>
      <c r="C31" s="285"/>
      <c r="D31" s="285"/>
      <c r="E31" s="285"/>
      <c r="F31" s="285"/>
      <c r="G31" s="285"/>
      <c r="H31" s="285"/>
      <c r="I31" s="24"/>
      <c r="J31" s="25" t="e">
        <f>C10</f>
        <v>#REF!</v>
      </c>
      <c r="K31" s="70"/>
      <c r="L31" s="70"/>
      <c r="M31" s="70"/>
    </row>
    <row r="32" spans="1:15" x14ac:dyDescent="0.35">
      <c r="A32" s="24"/>
      <c r="B32" s="25" t="s">
        <v>174</v>
      </c>
      <c r="C32" s="335" t="s">
        <v>220</v>
      </c>
      <c r="D32" s="285"/>
      <c r="E32" s="285"/>
      <c r="F32" s="285"/>
      <c r="G32" s="285"/>
      <c r="H32" s="285"/>
      <c r="I32" s="24"/>
      <c r="J32" s="25" t="str">
        <f>"NIP. "&amp;_xlfn.XLOOKUP('Isi Disini'!W44,'nama pegawai'!B:B,'nama pegawai'!C:C,"")</f>
        <v>NIP. 19840124 200212 1 002</v>
      </c>
      <c r="K32" s="319">
        <f>'Isi Disini'!C28</f>
        <v>0</v>
      </c>
      <c r="L32" s="285"/>
      <c r="M32" s="285"/>
    </row>
    <row r="33" spans="1:14" x14ac:dyDescent="0.35">
      <c r="A33" s="24"/>
      <c r="B33" s="24"/>
      <c r="C33" s="24"/>
      <c r="D33" s="24"/>
      <c r="E33" s="24"/>
      <c r="F33" s="24"/>
      <c r="G33" s="24"/>
      <c r="H33" s="24"/>
      <c r="I33" s="24"/>
      <c r="J33" s="24"/>
      <c r="K33" s="24"/>
      <c r="L33" s="24"/>
      <c r="M33" s="24"/>
    </row>
    <row r="34" spans="1:14" x14ac:dyDescent="0.35">
      <c r="A34" s="49"/>
      <c r="B34" s="49"/>
      <c r="C34" s="49"/>
      <c r="D34" s="49"/>
      <c r="E34" s="49"/>
      <c r="F34" s="49"/>
      <c r="G34" s="49"/>
      <c r="H34" s="49"/>
      <c r="I34" s="49"/>
      <c r="J34" s="49"/>
      <c r="K34" s="49"/>
      <c r="L34" s="49"/>
      <c r="M34" s="49"/>
    </row>
    <row r="35" spans="1:14" x14ac:dyDescent="0.35">
      <c r="A35" s="281" t="s">
        <v>176</v>
      </c>
      <c r="B35" s="285"/>
      <c r="C35" s="285"/>
      <c r="D35" s="285"/>
      <c r="E35" s="285"/>
      <c r="F35" s="285"/>
      <c r="G35" s="285"/>
      <c r="H35" s="285"/>
      <c r="I35" s="285"/>
      <c r="J35" s="285"/>
      <c r="K35" s="285"/>
      <c r="L35" s="285"/>
      <c r="M35" s="285"/>
    </row>
    <row r="36" spans="1:14" x14ac:dyDescent="0.35">
      <c r="A36" s="50"/>
      <c r="B36" s="50"/>
      <c r="C36" s="50"/>
      <c r="D36" s="50"/>
      <c r="E36" s="50"/>
      <c r="F36" s="50"/>
      <c r="G36" s="50"/>
      <c r="H36" s="50"/>
      <c r="I36" s="50"/>
      <c r="J36" s="50"/>
      <c r="K36" s="50"/>
      <c r="L36" s="50"/>
      <c r="M36" s="50"/>
    </row>
    <row r="37" spans="1:14" x14ac:dyDescent="0.35">
      <c r="A37" s="24" t="s">
        <v>177</v>
      </c>
      <c r="B37" s="24"/>
      <c r="C37" s="24"/>
      <c r="D37" s="24"/>
      <c r="E37" s="24"/>
      <c r="F37" s="24"/>
      <c r="G37" s="51" t="s">
        <v>105</v>
      </c>
      <c r="H37" s="321" t="e">
        <f>K20</f>
        <v>#REF!</v>
      </c>
      <c r="I37" s="285"/>
      <c r="J37" s="47"/>
      <c r="K37" s="24"/>
      <c r="L37" s="24"/>
      <c r="M37" s="24"/>
    </row>
    <row r="38" spans="1:14" x14ac:dyDescent="0.35">
      <c r="A38" s="24" t="s">
        <v>178</v>
      </c>
      <c r="B38" s="24"/>
      <c r="C38" s="24"/>
      <c r="D38" s="24"/>
      <c r="E38" s="24"/>
      <c r="F38" s="24"/>
      <c r="G38" s="51" t="s">
        <v>105</v>
      </c>
      <c r="H38" s="332" t="e">
        <f>B25</f>
        <v>#REF!</v>
      </c>
      <c r="I38" s="285"/>
      <c r="J38" s="52"/>
      <c r="K38" s="24"/>
      <c r="L38" s="24"/>
      <c r="M38" s="24"/>
      <c r="N38" s="68" t="s">
        <v>88</v>
      </c>
    </row>
    <row r="39" spans="1:14" x14ac:dyDescent="0.35">
      <c r="A39" s="24" t="s">
        <v>179</v>
      </c>
      <c r="B39" s="24"/>
      <c r="C39" s="24"/>
      <c r="D39" s="24"/>
      <c r="E39" s="24"/>
      <c r="F39" s="24"/>
      <c r="G39" s="51" t="s">
        <v>105</v>
      </c>
      <c r="H39" s="306" t="e">
        <f>H37-H38</f>
        <v>#REF!</v>
      </c>
      <c r="I39" s="285"/>
      <c r="J39" s="53"/>
      <c r="K39" s="24"/>
      <c r="L39" s="24"/>
      <c r="M39" s="24"/>
    </row>
    <row r="40" spans="1:14" x14ac:dyDescent="0.35">
      <c r="A40" s="24"/>
      <c r="B40" s="24"/>
      <c r="C40" s="24"/>
      <c r="D40" s="24"/>
      <c r="E40" s="24"/>
      <c r="F40" s="24"/>
      <c r="G40" s="24"/>
      <c r="H40" s="24"/>
      <c r="I40" s="24"/>
      <c r="J40" s="24"/>
      <c r="K40" s="24"/>
      <c r="L40" s="24"/>
      <c r="M40" s="24"/>
    </row>
    <row r="41" spans="1:14" x14ac:dyDescent="0.35">
      <c r="A41" s="24"/>
      <c r="B41" s="24"/>
      <c r="C41" s="24"/>
      <c r="D41" s="24"/>
      <c r="E41" s="24"/>
      <c r="F41" s="24"/>
      <c r="G41" s="24"/>
      <c r="H41" s="24"/>
      <c r="I41" s="24"/>
      <c r="J41" s="24"/>
      <c r="K41" s="24"/>
      <c r="L41" s="24"/>
      <c r="M41" s="24"/>
    </row>
    <row r="42" spans="1:14" x14ac:dyDescent="0.35">
      <c r="A42" s="24"/>
      <c r="B42" s="24"/>
      <c r="C42" s="24"/>
      <c r="D42" s="24"/>
      <c r="E42" s="24"/>
      <c r="F42" s="24"/>
      <c r="G42" s="24"/>
      <c r="H42" s="24"/>
      <c r="I42" s="25"/>
      <c r="J42" s="25" t="s">
        <v>180</v>
      </c>
      <c r="K42" s="25"/>
      <c r="L42" s="25"/>
      <c r="M42" s="25"/>
    </row>
    <row r="43" spans="1:14" x14ac:dyDescent="0.35">
      <c r="A43" s="24"/>
      <c r="B43" s="24"/>
      <c r="C43" s="24"/>
      <c r="D43" s="24"/>
      <c r="E43" s="24"/>
      <c r="F43" s="24"/>
      <c r="G43" s="24"/>
      <c r="H43" s="24"/>
      <c r="I43" s="24"/>
      <c r="J43" s="24"/>
      <c r="K43" s="24"/>
      <c r="L43" s="24"/>
      <c r="M43" s="24"/>
    </row>
    <row r="44" spans="1:14" x14ac:dyDescent="0.35">
      <c r="A44" s="24"/>
      <c r="B44" s="24"/>
      <c r="C44" s="24"/>
      <c r="D44" s="24"/>
      <c r="E44" s="24"/>
      <c r="F44" s="24"/>
      <c r="G44" s="24"/>
      <c r="H44" s="24"/>
      <c r="I44" s="24"/>
      <c r="J44" s="24"/>
      <c r="K44" s="24"/>
      <c r="L44" s="24"/>
      <c r="M44" s="24"/>
    </row>
    <row r="45" spans="1:14" x14ac:dyDescent="0.35">
      <c r="A45" s="24"/>
      <c r="B45" s="24"/>
      <c r="C45" s="24"/>
      <c r="D45" s="24"/>
      <c r="E45" s="24"/>
      <c r="F45" s="24"/>
      <c r="G45" s="24"/>
      <c r="H45" s="24"/>
      <c r="I45" s="24"/>
      <c r="J45" s="24"/>
      <c r="K45" s="24"/>
      <c r="L45" s="24"/>
      <c r="M45" s="24"/>
    </row>
    <row r="46" spans="1:14" x14ac:dyDescent="0.35">
      <c r="A46" s="24"/>
      <c r="B46" s="24"/>
      <c r="C46" s="24"/>
      <c r="D46" s="24"/>
      <c r="E46" s="24"/>
      <c r="F46" s="24"/>
      <c r="G46" s="24"/>
      <c r="H46" s="24"/>
      <c r="I46" s="24"/>
      <c r="J46" s="24"/>
      <c r="K46" s="24"/>
      <c r="L46" s="24"/>
      <c r="M46" s="24"/>
    </row>
    <row r="47" spans="1:14" x14ac:dyDescent="0.35">
      <c r="A47" s="24"/>
      <c r="B47" s="24"/>
      <c r="C47" s="24"/>
      <c r="D47" s="24"/>
      <c r="E47" s="24"/>
      <c r="F47" s="24"/>
      <c r="G47" s="24"/>
      <c r="H47" s="24"/>
      <c r="I47" s="25"/>
      <c r="J47" s="110" t="str">
        <f>'Isi Disini'!W44</f>
        <v xml:space="preserve">MUHAMMAD REZA, S.H. </v>
      </c>
      <c r="K47" s="25"/>
      <c r="L47" s="25"/>
      <c r="M47" s="25"/>
    </row>
    <row r="48" spans="1:14" x14ac:dyDescent="0.35">
      <c r="A48" s="24"/>
      <c r="B48" s="24"/>
      <c r="C48" s="24"/>
      <c r="D48" s="24"/>
      <c r="E48" s="24"/>
      <c r="F48" s="24"/>
      <c r="G48" s="24"/>
      <c r="H48" s="24"/>
      <c r="I48" s="25"/>
      <c r="J48" s="110" t="str">
        <f>'Isi Disini'!W45</f>
        <v>NIP. 19840124 200212 1 002</v>
      </c>
      <c r="K48" s="71" t="s">
        <v>223</v>
      </c>
      <c r="L48" s="25"/>
      <c r="M48" s="25"/>
    </row>
    <row r="51" spans="1:13" ht="17.399999999999999" customHeight="1" x14ac:dyDescent="0.4">
      <c r="A51" s="289" t="s">
        <v>98</v>
      </c>
      <c r="B51" s="285"/>
      <c r="C51" s="285"/>
      <c r="D51" s="285"/>
      <c r="E51" s="285"/>
      <c r="F51" s="285"/>
      <c r="G51" s="285"/>
      <c r="H51" s="285"/>
      <c r="I51" s="285"/>
      <c r="J51" s="285"/>
      <c r="K51" s="285"/>
      <c r="L51" s="285"/>
      <c r="M51" s="285"/>
    </row>
    <row r="53" spans="1:13" s="75" customFormat="1" ht="15" customHeight="1" x14ac:dyDescent="0.35">
      <c r="C53" s="75" t="s">
        <v>182</v>
      </c>
    </row>
    <row r="54" spans="1:13" s="75" customFormat="1" ht="15" customHeight="1" x14ac:dyDescent="0.35"/>
    <row r="55" spans="1:13" s="75" customFormat="1" ht="15" customHeight="1" x14ac:dyDescent="0.35">
      <c r="C55" s="75" t="s">
        <v>45</v>
      </c>
      <c r="E55" s="76" t="s">
        <v>105</v>
      </c>
      <c r="F55" s="75" t="e">
        <f>C10</f>
        <v>#REF!</v>
      </c>
    </row>
    <row r="56" spans="1:13" s="75" customFormat="1" ht="15" customHeight="1" x14ac:dyDescent="0.35">
      <c r="C56" s="75" t="s">
        <v>106</v>
      </c>
      <c r="E56" s="76" t="s">
        <v>105</v>
      </c>
      <c r="F56" s="75">
        <f>K32</f>
        <v>0</v>
      </c>
    </row>
    <row r="57" spans="1:13" s="75" customFormat="1" ht="15" customHeight="1" x14ac:dyDescent="0.35">
      <c r="C57" s="75" t="s">
        <v>47</v>
      </c>
      <c r="E57" s="76" t="s">
        <v>105</v>
      </c>
      <c r="F57" s="75">
        <f>'Isi Disini'!E27</f>
        <v>0</v>
      </c>
    </row>
    <row r="58" spans="1:13" s="75" customFormat="1" ht="15" customHeight="1" x14ac:dyDescent="0.35"/>
    <row r="59" spans="1:13" s="75" customFormat="1" ht="15" customHeight="1" x14ac:dyDescent="0.35">
      <c r="C59" s="75" t="s">
        <v>183</v>
      </c>
      <c r="J59" s="75" t="str">
        <f>G5</f>
        <v>W.16.IMI.IMI-6.KU.03.01-1638</v>
      </c>
      <c r="M59" s="75" t="s">
        <v>184</v>
      </c>
    </row>
    <row r="60" spans="1:13" s="75" customFormat="1" ht="15" customHeight="1" x14ac:dyDescent="0.35">
      <c r="C60" s="331">
        <f>G6</f>
        <v>46170</v>
      </c>
      <c r="D60" s="282"/>
      <c r="E60" s="282"/>
      <c r="F60" s="282"/>
      <c r="G60" s="75" t="s">
        <v>185</v>
      </c>
    </row>
    <row r="61" spans="1:13" s="75" customFormat="1" ht="15" customHeight="1" x14ac:dyDescent="0.35"/>
    <row r="62" spans="1:13" s="75" customFormat="1" ht="15" customHeight="1" x14ac:dyDescent="0.35">
      <c r="C62" s="75" t="s">
        <v>114</v>
      </c>
      <c r="D62" s="75" t="s">
        <v>186</v>
      </c>
    </row>
    <row r="63" spans="1:13" s="75" customFormat="1" ht="15" customHeight="1" x14ac:dyDescent="0.35"/>
    <row r="64" spans="1:13" s="75" customFormat="1" ht="15" customHeight="1" x14ac:dyDescent="0.35">
      <c r="D64" s="317" t="s">
        <v>116</v>
      </c>
      <c r="E64" s="234"/>
      <c r="F64" s="316" t="s">
        <v>187</v>
      </c>
      <c r="G64" s="262"/>
      <c r="H64" s="262"/>
      <c r="I64" s="262"/>
      <c r="J64" s="262"/>
      <c r="K64" s="234"/>
      <c r="L64" s="317" t="s">
        <v>63</v>
      </c>
      <c r="M64" s="234"/>
    </row>
    <row r="65" spans="3:13" s="75" customFormat="1" ht="15" customHeight="1" x14ac:dyDescent="0.35">
      <c r="D65" s="221"/>
      <c r="E65" s="237"/>
      <c r="F65" s="221"/>
      <c r="G65" s="229"/>
      <c r="H65" s="229"/>
      <c r="I65" s="229"/>
      <c r="J65" s="229"/>
      <c r="K65" s="237"/>
      <c r="L65" s="221"/>
      <c r="M65" s="237"/>
    </row>
    <row r="66" spans="3:13" s="75" customFormat="1" ht="15" customHeight="1" x14ac:dyDescent="0.35">
      <c r="D66" s="314">
        <v>1</v>
      </c>
      <c r="E66" s="234"/>
      <c r="F66" s="77" t="s">
        <v>188</v>
      </c>
      <c r="G66" s="77"/>
      <c r="H66" s="77"/>
      <c r="I66" s="77"/>
      <c r="J66" s="77"/>
      <c r="K66" s="77"/>
      <c r="L66" s="78"/>
      <c r="M66" s="79"/>
    </row>
    <row r="67" spans="3:13" s="75" customFormat="1" ht="15" customHeight="1" x14ac:dyDescent="0.35">
      <c r="D67" s="80"/>
      <c r="E67" s="81"/>
      <c r="F67" s="82">
        <f>'Isi Disini'!J27</f>
        <v>1</v>
      </c>
      <c r="G67" s="83" t="e">
        <f ca="1">PROPER([3]!terbilang(F67)) &amp; " hari x"</f>
        <v>#NAME?</v>
      </c>
      <c r="I67" s="84">
        <f>'Isi Disini'!L27</f>
        <v>0</v>
      </c>
      <c r="K67" s="85"/>
      <c r="L67" s="310">
        <f>F67*I67</f>
        <v>0</v>
      </c>
      <c r="M67" s="236"/>
    </row>
    <row r="68" spans="3:13" s="75" customFormat="1" ht="15" customHeight="1" x14ac:dyDescent="0.35">
      <c r="D68" s="80"/>
      <c r="E68" s="81"/>
      <c r="F68" s="82"/>
      <c r="G68" s="83"/>
      <c r="I68" s="84"/>
      <c r="K68" s="85"/>
      <c r="L68" s="102"/>
      <c r="M68" s="103"/>
    </row>
    <row r="69" spans="3:13" s="75" customFormat="1" ht="15" customHeight="1" x14ac:dyDescent="0.35">
      <c r="D69" s="314">
        <v>2</v>
      </c>
      <c r="E69" s="234"/>
      <c r="F69" s="77" t="s">
        <v>189</v>
      </c>
      <c r="G69" s="77"/>
      <c r="H69" s="77"/>
      <c r="I69" s="77"/>
      <c r="J69" s="77"/>
      <c r="K69" s="77"/>
      <c r="L69" s="78"/>
      <c r="M69" s="79"/>
    </row>
    <row r="70" spans="3:13" s="75" customFormat="1" ht="15" customHeight="1" x14ac:dyDescent="0.35">
      <c r="D70" s="80"/>
      <c r="E70" s="81"/>
      <c r="F70" s="82">
        <f>'Isi Disini'!J27</f>
        <v>1</v>
      </c>
      <c r="G70" s="83" t="e">
        <f ca="1">PROPER([3]!terbilang(F67)) &amp; " hari x"</f>
        <v>#NAME?</v>
      </c>
      <c r="I70" s="84">
        <f>'Isi Disini'!T27</f>
        <v>0</v>
      </c>
      <c r="K70" s="85"/>
      <c r="L70" s="310">
        <f>F70*I70</f>
        <v>0</v>
      </c>
      <c r="M70" s="236"/>
    </row>
    <row r="71" spans="3:13" s="75" customFormat="1" ht="15.65" customHeight="1" x14ac:dyDescent="0.35">
      <c r="D71" s="88"/>
      <c r="E71" s="89"/>
      <c r="F71" s="90" t="s">
        <v>118</v>
      </c>
      <c r="G71" s="91"/>
      <c r="H71" s="91"/>
      <c r="I71" s="91"/>
      <c r="J71" s="91"/>
      <c r="K71" s="91"/>
      <c r="L71" s="307">
        <f>L67+L70</f>
        <v>0</v>
      </c>
      <c r="M71" s="232"/>
    </row>
    <row r="72" spans="3:13" s="75" customFormat="1" ht="15" customHeight="1" x14ac:dyDescent="0.35"/>
    <row r="73" spans="3:13" s="75" customFormat="1" ht="57" customHeight="1" x14ac:dyDescent="0.35">
      <c r="C73" s="92" t="s">
        <v>140</v>
      </c>
      <c r="D73" s="302" t="s">
        <v>191</v>
      </c>
      <c r="E73" s="282"/>
      <c r="F73" s="282"/>
      <c r="G73" s="282"/>
      <c r="H73" s="282"/>
      <c r="I73" s="282"/>
      <c r="J73" s="282"/>
      <c r="K73" s="282"/>
      <c r="L73" s="282"/>
      <c r="M73" s="282"/>
    </row>
    <row r="74" spans="3:13" s="75" customFormat="1" ht="15" customHeight="1" x14ac:dyDescent="0.35">
      <c r="C74" s="75" t="s">
        <v>145</v>
      </c>
    </row>
    <row r="75" spans="3:13" s="75" customFormat="1" ht="15" customHeight="1" x14ac:dyDescent="0.35"/>
    <row r="76" spans="3:13" s="75" customFormat="1" ht="15" customHeight="1" x14ac:dyDescent="0.35"/>
    <row r="77" spans="3:13" s="75" customFormat="1" ht="15" customHeight="1" x14ac:dyDescent="0.35">
      <c r="J77" s="75" t="str">
        <f>J23</f>
        <v>Pontianak,</v>
      </c>
    </row>
    <row r="78" spans="3:13" s="75" customFormat="1" ht="15.65" customHeight="1" x14ac:dyDescent="0.35">
      <c r="D78" s="93" t="s">
        <v>180</v>
      </c>
      <c r="J78" s="93" t="s">
        <v>192</v>
      </c>
    </row>
    <row r="79" spans="3:13" s="75" customFormat="1" ht="15" customHeight="1" x14ac:dyDescent="0.35"/>
    <row r="80" spans="3:13" s="75" customFormat="1" ht="15" customHeight="1" x14ac:dyDescent="0.35"/>
    <row r="81" spans="1:13" s="75" customFormat="1" ht="15" customHeight="1" x14ac:dyDescent="0.35"/>
    <row r="82" spans="1:13" s="75" customFormat="1" ht="15" customHeight="1" x14ac:dyDescent="0.35"/>
    <row r="83" spans="1:13" s="75" customFormat="1" ht="15.65" customHeight="1" x14ac:dyDescent="0.35">
      <c r="D83" s="111" t="s">
        <v>221</v>
      </c>
      <c r="E83" s="93"/>
      <c r="J83" s="93" t="e">
        <f>J31</f>
        <v>#REF!</v>
      </c>
    </row>
    <row r="84" spans="1:13" s="75" customFormat="1" ht="15.65" customHeight="1" x14ac:dyDescent="0.35">
      <c r="D84" s="111" t="s">
        <v>222</v>
      </c>
      <c r="E84" s="94" t="s">
        <v>223</v>
      </c>
      <c r="J84" s="93" t="s">
        <v>151</v>
      </c>
      <c r="K84" s="93">
        <f>K32</f>
        <v>0</v>
      </c>
    </row>
    <row r="85" spans="1:13" s="24" customFormat="1" ht="13.75" customHeight="1" x14ac:dyDescent="0.3"/>
    <row r="86" spans="1:13" s="24" customFormat="1" ht="13.75" customHeight="1" x14ac:dyDescent="0.3"/>
    <row r="87" spans="1:13" s="24" customFormat="1" ht="15" customHeight="1" x14ac:dyDescent="0.35">
      <c r="D87" s="269" t="s">
        <v>92</v>
      </c>
      <c r="E87" s="270"/>
      <c r="F87" s="270"/>
      <c r="G87" s="270"/>
      <c r="H87" s="270"/>
      <c r="I87" s="270"/>
      <c r="J87" s="270"/>
      <c r="K87" s="270"/>
      <c r="L87" s="270"/>
      <c r="M87" s="270"/>
    </row>
    <row r="88" spans="1:13" s="75" customFormat="1" ht="15" customHeight="1" x14ac:dyDescent="0.35">
      <c r="D88" s="269" t="s">
        <v>93</v>
      </c>
      <c r="E88" s="282"/>
      <c r="F88" s="282"/>
      <c r="G88" s="282"/>
      <c r="H88" s="282"/>
      <c r="I88" s="282"/>
      <c r="J88" s="282"/>
      <c r="K88" s="282"/>
      <c r="L88" s="282"/>
      <c r="M88" s="282"/>
    </row>
    <row r="89" spans="1:13" s="75" customFormat="1" ht="15" customHeight="1" x14ac:dyDescent="0.35">
      <c r="D89" s="269" t="s">
        <v>94</v>
      </c>
      <c r="E89" s="282"/>
      <c r="F89" s="282"/>
      <c r="G89" s="282"/>
      <c r="H89" s="282"/>
      <c r="I89" s="282"/>
      <c r="J89" s="282"/>
      <c r="K89" s="282"/>
      <c r="L89" s="282"/>
      <c r="M89" s="282"/>
    </row>
    <row r="90" spans="1:13" s="75" customFormat="1" ht="17.399999999999999" customHeight="1" x14ac:dyDescent="0.4">
      <c r="D90" s="289" t="s">
        <v>95</v>
      </c>
      <c r="E90" s="282"/>
      <c r="F90" s="282"/>
      <c r="G90" s="282"/>
      <c r="H90" s="282"/>
      <c r="I90" s="282"/>
      <c r="J90" s="282"/>
      <c r="K90" s="282"/>
      <c r="L90" s="282"/>
      <c r="M90" s="282"/>
    </row>
    <row r="91" spans="1:13" s="75" customFormat="1" ht="15" customHeight="1" x14ac:dyDescent="0.35">
      <c r="D91" s="281" t="s">
        <v>96</v>
      </c>
      <c r="E91" s="282"/>
      <c r="F91" s="282"/>
      <c r="G91" s="282"/>
      <c r="H91" s="282"/>
      <c r="I91" s="282"/>
      <c r="J91" s="282"/>
      <c r="K91" s="282"/>
      <c r="L91" s="282"/>
      <c r="M91" s="282"/>
    </row>
    <row r="92" spans="1:13" s="75" customFormat="1" ht="15" customHeight="1" x14ac:dyDescent="0.35">
      <c r="D92" s="281" t="s">
        <v>97</v>
      </c>
      <c r="E92" s="282"/>
      <c r="F92" s="282"/>
      <c r="G92" s="282"/>
      <c r="H92" s="282"/>
      <c r="I92" s="282"/>
      <c r="J92" s="282"/>
      <c r="K92" s="282"/>
      <c r="L92" s="282"/>
      <c r="M92" s="282"/>
    </row>
    <row r="93" spans="1:13" ht="15.65" customHeight="1" x14ac:dyDescent="0.35">
      <c r="A93" s="284"/>
      <c r="B93" s="285"/>
      <c r="C93" s="285"/>
      <c r="D93" s="285"/>
      <c r="E93" s="285"/>
      <c r="F93" s="285"/>
      <c r="G93" s="285"/>
      <c r="H93" s="285"/>
      <c r="I93" s="285"/>
      <c r="J93" s="285"/>
      <c r="K93" s="285"/>
      <c r="L93" s="285"/>
      <c r="M93" s="285"/>
    </row>
    <row r="96" spans="1:13" ht="17.399999999999999" customHeight="1" x14ac:dyDescent="0.4">
      <c r="A96" s="289" t="s">
        <v>193</v>
      </c>
      <c r="B96" s="285"/>
      <c r="C96" s="285"/>
      <c r="D96" s="285"/>
      <c r="E96" s="285"/>
      <c r="F96" s="285"/>
      <c r="G96" s="285"/>
      <c r="H96" s="285"/>
      <c r="I96" s="285"/>
      <c r="J96" s="285"/>
      <c r="K96" s="285"/>
      <c r="L96" s="285"/>
      <c r="M96" s="285"/>
    </row>
    <row r="98" spans="2:13" s="24" customFormat="1" ht="13.75" customHeight="1" x14ac:dyDescent="0.3">
      <c r="B98" s="24" t="s">
        <v>182</v>
      </c>
    </row>
    <row r="99" spans="2:13" s="24" customFormat="1" ht="13.75" customHeight="1" x14ac:dyDescent="0.3"/>
    <row r="100" spans="2:13" s="24" customFormat="1" ht="13.75" customHeight="1" x14ac:dyDescent="0.3">
      <c r="B100" s="24" t="s">
        <v>45</v>
      </c>
      <c r="D100" s="69" t="s">
        <v>105</v>
      </c>
      <c r="E100" s="24" t="e">
        <f>F55</f>
        <v>#REF!</v>
      </c>
    </row>
    <row r="101" spans="2:13" s="24" customFormat="1" ht="13.75" customHeight="1" x14ac:dyDescent="0.3">
      <c r="B101" s="24" t="s">
        <v>106</v>
      </c>
      <c r="D101" s="69" t="s">
        <v>105</v>
      </c>
      <c r="E101" s="24">
        <f>F56</f>
        <v>0</v>
      </c>
    </row>
    <row r="102" spans="2:13" s="24" customFormat="1" ht="13.75" customHeight="1" x14ac:dyDescent="0.3">
      <c r="B102" s="24" t="s">
        <v>47</v>
      </c>
      <c r="D102" s="69" t="s">
        <v>105</v>
      </c>
      <c r="E102" s="24">
        <f>F57</f>
        <v>0</v>
      </c>
    </row>
    <row r="103" spans="2:13" s="24" customFormat="1" ht="13.75" customHeight="1" x14ac:dyDescent="0.3"/>
    <row r="104" spans="2:13" s="75" customFormat="1" ht="15" customHeight="1" x14ac:dyDescent="0.35">
      <c r="B104" s="75" t="s">
        <v>194</v>
      </c>
    </row>
    <row r="105" spans="2:13" s="97" customFormat="1" ht="62.25" customHeight="1" x14ac:dyDescent="0.35">
      <c r="B105" s="96" t="s">
        <v>114</v>
      </c>
      <c r="C105" s="302" t="str">
        <f>'Isi Disini'!G4</f>
        <v>Benar telah melaksanakan tugas perjalanan dinas berdasarkan Surat Perintah Tugas Nomor: WIM.16.IMI.1-TI.04.01-2438  Tanggal 5 Mei 2026, dalam rangka Melakukan Kegiatan Koordinasi terkait Contact Centre dan Penanganan Pengaduan pada Kantor Imigrasi Kelas I TPI Pontianak ke Direktorat Jenderal Imigrasi Jakarta;</v>
      </c>
      <c r="D105" s="303"/>
      <c r="E105" s="303"/>
      <c r="F105" s="303"/>
      <c r="G105" s="303"/>
      <c r="H105" s="303"/>
      <c r="I105" s="303"/>
      <c r="J105" s="303"/>
      <c r="K105" s="303"/>
      <c r="L105" s="303"/>
      <c r="M105" s="303"/>
    </row>
    <row r="106" spans="2:13" s="97" customFormat="1" ht="49.5" customHeight="1" x14ac:dyDescent="0.35">
      <c r="B106" s="96" t="s">
        <v>140</v>
      </c>
      <c r="C106" s="302" t="s">
        <v>224</v>
      </c>
      <c r="D106" s="303"/>
      <c r="E106" s="303"/>
      <c r="F106" s="303"/>
      <c r="G106" s="303"/>
      <c r="H106" s="303"/>
      <c r="I106" s="303"/>
      <c r="J106" s="303"/>
      <c r="K106" s="303"/>
      <c r="L106" s="303"/>
      <c r="M106" s="303"/>
    </row>
    <row r="107" spans="2:13" s="97" customFormat="1" ht="23.25" hidden="1" customHeight="1" x14ac:dyDescent="0.35">
      <c r="B107" s="96" t="s">
        <v>196</v>
      </c>
      <c r="C107" s="302" t="s">
        <v>215</v>
      </c>
      <c r="D107" s="303"/>
      <c r="E107" s="303"/>
      <c r="F107" s="303"/>
      <c r="G107" s="303"/>
      <c r="H107" s="303"/>
      <c r="I107" s="303"/>
      <c r="J107" s="303"/>
      <c r="K107" s="303"/>
      <c r="L107" s="303"/>
      <c r="M107" s="303"/>
    </row>
    <row r="108" spans="2:13" s="97" customFormat="1" ht="15" hidden="1" customHeight="1" x14ac:dyDescent="0.35">
      <c r="C108" s="97" t="s">
        <v>198</v>
      </c>
      <c r="D108" s="97" t="s">
        <v>216</v>
      </c>
    </row>
    <row r="109" spans="2:13" s="97" customFormat="1" ht="18" hidden="1" customHeight="1" x14ac:dyDescent="0.35">
      <c r="C109" s="97" t="s">
        <v>200</v>
      </c>
      <c r="D109" s="97" t="s">
        <v>217</v>
      </c>
    </row>
    <row r="110" spans="2:13" s="97" customFormat="1" ht="30.75" customHeight="1" x14ac:dyDescent="0.35">
      <c r="B110" s="96" t="s">
        <v>196</v>
      </c>
      <c r="C110" s="302" t="s">
        <v>202</v>
      </c>
      <c r="D110" s="303"/>
      <c r="E110" s="303"/>
      <c r="F110" s="303"/>
      <c r="G110" s="303"/>
      <c r="H110" s="303"/>
      <c r="I110" s="303"/>
      <c r="J110" s="303"/>
      <c r="K110" s="303"/>
      <c r="L110" s="303"/>
      <c r="M110" s="303"/>
    </row>
    <row r="111" spans="2:13" s="97" customFormat="1" ht="15" customHeight="1" x14ac:dyDescent="0.35">
      <c r="C111" s="97" t="s">
        <v>198</v>
      </c>
      <c r="D111" s="97" t="s">
        <v>203</v>
      </c>
    </row>
    <row r="112" spans="2:13" s="97" customFormat="1" ht="15" customHeight="1" x14ac:dyDescent="0.35">
      <c r="C112" s="97" t="s">
        <v>200</v>
      </c>
      <c r="D112" s="97" t="s">
        <v>204</v>
      </c>
    </row>
    <row r="113" spans="2:13" s="97" customFormat="1" ht="20.25" customHeight="1" x14ac:dyDescent="0.35">
      <c r="C113" s="97" t="s">
        <v>205</v>
      </c>
      <c r="D113" s="97" t="s">
        <v>206</v>
      </c>
    </row>
    <row r="114" spans="2:13" s="97" customFormat="1" ht="50.25" customHeight="1" x14ac:dyDescent="0.35">
      <c r="B114" s="96" t="s">
        <v>207</v>
      </c>
      <c r="C114" s="302" t="s">
        <v>208</v>
      </c>
      <c r="D114" s="303"/>
      <c r="E114" s="303"/>
      <c r="F114" s="303"/>
      <c r="G114" s="303"/>
      <c r="H114" s="303"/>
      <c r="I114" s="303"/>
      <c r="J114" s="303"/>
      <c r="K114" s="303"/>
      <c r="L114" s="303"/>
      <c r="M114" s="303"/>
    </row>
    <row r="115" spans="2:13" s="75" customFormat="1" ht="15.65" customHeight="1" x14ac:dyDescent="0.35">
      <c r="J115" s="93" t="str">
        <f>J78</f>
        <v>Yang Melakukan Perjalanan Dinas,</v>
      </c>
    </row>
    <row r="116" spans="2:13" s="75" customFormat="1" ht="15" customHeight="1" x14ac:dyDescent="0.35"/>
    <row r="117" spans="2:13" s="75" customFormat="1" ht="15" customHeight="1" x14ac:dyDescent="0.35"/>
    <row r="118" spans="2:13" s="75" customFormat="1" ht="15" customHeight="1" x14ac:dyDescent="0.35"/>
    <row r="119" spans="2:13" s="75" customFormat="1" ht="15" customHeight="1" x14ac:dyDescent="0.35"/>
    <row r="120" spans="2:13" s="75" customFormat="1" ht="15.65" customHeight="1" x14ac:dyDescent="0.35">
      <c r="J120" s="93" t="e">
        <f>J31</f>
        <v>#REF!</v>
      </c>
    </row>
    <row r="121" spans="2:13" s="75" customFormat="1" ht="15.65" customHeight="1" x14ac:dyDescent="0.35">
      <c r="J121" s="93" t="s">
        <v>151</v>
      </c>
      <c r="K121" s="93">
        <f>K32</f>
        <v>0</v>
      </c>
    </row>
  </sheetData>
  <mergeCells count="53">
    <mergeCell ref="C114:M114"/>
    <mergeCell ref="C32:H32"/>
    <mergeCell ref="C105:M105"/>
    <mergeCell ref="A1:M1"/>
    <mergeCell ref="B27:H27"/>
    <mergeCell ref="J25:K25"/>
    <mergeCell ref="H37:I37"/>
    <mergeCell ref="C10:I10"/>
    <mergeCell ref="C110:M110"/>
    <mergeCell ref="B9:I9"/>
    <mergeCell ref="J27:M27"/>
    <mergeCell ref="C106:M106"/>
    <mergeCell ref="D91:M91"/>
    <mergeCell ref="A21:M21"/>
    <mergeCell ref="D87:M87"/>
    <mergeCell ref="C60:F60"/>
    <mergeCell ref="K2:M2"/>
    <mergeCell ref="A93:M93"/>
    <mergeCell ref="D64:E65"/>
    <mergeCell ref="D88:M88"/>
    <mergeCell ref="L15:M15"/>
    <mergeCell ref="L18:M18"/>
    <mergeCell ref="L71:M71"/>
    <mergeCell ref="B25:E25"/>
    <mergeCell ref="L14:M14"/>
    <mergeCell ref="L8:M8"/>
    <mergeCell ref="B8:I8"/>
    <mergeCell ref="A20:I20"/>
    <mergeCell ref="A51:M51"/>
    <mergeCell ref="B31:H31"/>
    <mergeCell ref="D66:E66"/>
    <mergeCell ref="D90:M90"/>
    <mergeCell ref="D92:M92"/>
    <mergeCell ref="L19:M19"/>
    <mergeCell ref="C107:M107"/>
    <mergeCell ref="D73:M73"/>
    <mergeCell ref="A96:M96"/>
    <mergeCell ref="D89:M89"/>
    <mergeCell ref="H39:I39"/>
    <mergeCell ref="L70:M70"/>
    <mergeCell ref="D69:E69"/>
    <mergeCell ref="G6:I6"/>
    <mergeCell ref="L67:M67"/>
    <mergeCell ref="L16:M16"/>
    <mergeCell ref="A35:M35"/>
    <mergeCell ref="A4:M4"/>
    <mergeCell ref="L13:M13"/>
    <mergeCell ref="B12:I12"/>
    <mergeCell ref="L17:M17"/>
    <mergeCell ref="F64:K65"/>
    <mergeCell ref="L64:M65"/>
    <mergeCell ref="K32:M32"/>
    <mergeCell ref="H38:I38"/>
  </mergeCells>
  <hyperlinks>
    <hyperlink ref="A1" location="'MENU'!A1" display="&lt;&lt; MENU" xr:uid="{00000000-0004-0000-0D00-000000000000}"/>
  </hyperlinks>
  <pageMargins left="0.39370078740157483" right="0.39370078740157483" top="0.74803149606299213" bottom="0.74803149606299213" header="0.31496062992125978" footer="0.31496062992125978"/>
  <pageSetup paperSize="9" scale="85" orientation="portrait" horizontalDpi="4294967293" verticalDpi="4294967293" r:id="rId1"/>
  <rowBreaks count="2" manualBreakCount="2">
    <brk id="48" max="12" man="1"/>
    <brk id="85" max="12" man="1"/>
  </rowBreaks>
  <colBreaks count="1" manualBreakCount="1">
    <brk id="13" max="44"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S49"/>
  <sheetViews>
    <sheetView view="pageBreakPreview" topLeftCell="A4" zoomScale="90" zoomScaleNormal="100" zoomScaleSheetLayoutView="90" workbookViewId="0">
      <selection activeCell="B25" sqref="B25"/>
    </sheetView>
  </sheetViews>
  <sheetFormatPr defaultColWidth="8.90625" defaultRowHeight="14" x14ac:dyDescent="0.3"/>
  <cols>
    <col min="1" max="1" width="5.54296875" style="113" customWidth="1"/>
    <col min="2" max="2" width="20.453125" style="113" customWidth="1"/>
    <col min="3" max="3" width="4" style="113" customWidth="1"/>
    <col min="4" max="4" width="5.08984375" style="113" customWidth="1"/>
    <col min="5" max="5" width="3.08984375" style="113" customWidth="1"/>
    <col min="6" max="6" width="3.90625" style="113" customWidth="1"/>
    <col min="7" max="7" width="5.08984375" style="113" customWidth="1"/>
    <col min="8" max="8" width="3.90625" style="113" customWidth="1"/>
    <col min="9" max="9" width="15" style="113" customWidth="1"/>
    <col min="10" max="10" width="4.54296875" style="113" customWidth="1"/>
    <col min="11" max="11" width="0" style="113" hidden="1"/>
    <col min="12" max="12" width="14.453125" style="113" customWidth="1"/>
    <col min="13" max="13" width="35.90625" style="113" customWidth="1"/>
    <col min="14" max="14" width="8.90625" style="113" customWidth="1"/>
    <col min="15" max="15" width="22.6328125" style="113" customWidth="1"/>
    <col min="16" max="16" width="8.90625" style="113" customWidth="1"/>
    <col min="17" max="16384" width="8.90625" style="113"/>
  </cols>
  <sheetData>
    <row r="1" spans="1:19" s="24" customFormat="1" ht="15.75" customHeight="1" x14ac:dyDescent="0.35">
      <c r="A1" s="192" t="s">
        <v>34</v>
      </c>
      <c r="C1" s="269" t="s">
        <v>92</v>
      </c>
      <c r="D1" s="270"/>
      <c r="E1" s="270"/>
      <c r="F1" s="270"/>
      <c r="G1" s="270"/>
      <c r="H1" s="270"/>
      <c r="I1" s="270"/>
      <c r="J1" s="270"/>
      <c r="K1" s="270"/>
      <c r="L1" s="270"/>
      <c r="M1" s="270"/>
    </row>
    <row r="2" spans="1:19" s="75" customFormat="1" ht="15.75" customHeight="1" x14ac:dyDescent="0.35">
      <c r="C2" s="269" t="s">
        <v>93</v>
      </c>
      <c r="D2" s="282"/>
      <c r="E2" s="282"/>
      <c r="F2" s="282"/>
      <c r="G2" s="282"/>
      <c r="H2" s="282"/>
      <c r="I2" s="282"/>
      <c r="J2" s="282"/>
      <c r="K2" s="282"/>
      <c r="L2" s="282"/>
      <c r="M2" s="282"/>
    </row>
    <row r="3" spans="1:19" s="75" customFormat="1" ht="15.75" customHeight="1" x14ac:dyDescent="0.35">
      <c r="C3" s="269" t="s">
        <v>94</v>
      </c>
      <c r="D3" s="282"/>
      <c r="E3" s="282"/>
      <c r="F3" s="282"/>
      <c r="G3" s="282"/>
      <c r="H3" s="282"/>
      <c r="I3" s="282"/>
      <c r="J3" s="282"/>
      <c r="K3" s="282"/>
      <c r="L3" s="282"/>
      <c r="M3" s="282"/>
    </row>
    <row r="4" spans="1:19" s="75" customFormat="1" ht="17.399999999999999" customHeight="1" x14ac:dyDescent="0.4">
      <c r="C4" s="289" t="s">
        <v>95</v>
      </c>
      <c r="D4" s="282"/>
      <c r="E4" s="282"/>
      <c r="F4" s="282"/>
      <c r="G4" s="282"/>
      <c r="H4" s="282"/>
      <c r="I4" s="282"/>
      <c r="J4" s="282"/>
      <c r="K4" s="282"/>
      <c r="L4" s="282"/>
      <c r="M4" s="282"/>
    </row>
    <row r="5" spans="1:19" s="75" customFormat="1" ht="15.75" customHeight="1" x14ac:dyDescent="0.35">
      <c r="C5" s="281" t="s">
        <v>96</v>
      </c>
      <c r="D5" s="282"/>
      <c r="E5" s="282"/>
      <c r="F5" s="282"/>
      <c r="G5" s="282"/>
      <c r="H5" s="282"/>
      <c r="I5" s="282"/>
      <c r="J5" s="282"/>
      <c r="K5" s="282"/>
      <c r="L5" s="282"/>
      <c r="M5" s="282"/>
    </row>
    <row r="6" spans="1:19" s="75" customFormat="1" ht="15.75" customHeight="1" x14ac:dyDescent="0.35">
      <c r="C6" s="281" t="s">
        <v>97</v>
      </c>
      <c r="D6" s="282"/>
      <c r="E6" s="282"/>
      <c r="F6" s="282"/>
      <c r="G6" s="282"/>
      <c r="H6" s="282"/>
      <c r="I6" s="282"/>
      <c r="J6" s="282"/>
      <c r="K6" s="282"/>
      <c r="L6" s="282"/>
      <c r="M6" s="282"/>
    </row>
    <row r="7" spans="1:19" s="23" customFormat="1" ht="15.65" customHeight="1" x14ac:dyDescent="0.35">
      <c r="A7" s="284"/>
      <c r="B7" s="285"/>
      <c r="C7" s="285"/>
      <c r="D7" s="285"/>
      <c r="E7" s="285"/>
      <c r="F7" s="285"/>
      <c r="G7" s="285"/>
      <c r="H7" s="285"/>
      <c r="I7" s="285"/>
      <c r="J7" s="285"/>
      <c r="K7" s="285"/>
      <c r="L7" s="285"/>
      <c r="M7" s="285"/>
    </row>
    <row r="8" spans="1:19" ht="17.399999999999999" customHeight="1" x14ac:dyDescent="0.35">
      <c r="A8" s="290" t="s">
        <v>98</v>
      </c>
      <c r="B8" s="274"/>
      <c r="C8" s="274"/>
      <c r="D8" s="274"/>
      <c r="E8" s="274"/>
      <c r="F8" s="274"/>
      <c r="G8" s="274"/>
      <c r="H8" s="274"/>
      <c r="I8" s="274"/>
      <c r="J8" s="274"/>
      <c r="K8" s="274"/>
      <c r="L8" s="274"/>
      <c r="M8" s="274"/>
    </row>
    <row r="9" spans="1:19" s="155" customFormat="1" ht="17.399999999999999" customHeight="1" x14ac:dyDescent="0.35">
      <c r="A9" s="287" t="s">
        <v>99</v>
      </c>
      <c r="B9" s="288"/>
      <c r="C9" s="288"/>
      <c r="D9" s="288"/>
      <c r="E9" s="288"/>
      <c r="F9" s="288"/>
      <c r="G9" s="288"/>
      <c r="H9" s="288"/>
      <c r="I9" s="288"/>
      <c r="J9" s="288"/>
      <c r="K9" s="288"/>
      <c r="L9" s="288"/>
      <c r="M9" s="288"/>
    </row>
    <row r="10" spans="1:19" s="155" customFormat="1" ht="17.399999999999999" customHeight="1" x14ac:dyDescent="0.35">
      <c r="A10" s="293" t="s">
        <v>100</v>
      </c>
      <c r="B10" s="288"/>
      <c r="C10" s="288"/>
      <c r="D10" s="288"/>
      <c r="E10" s="288"/>
      <c r="F10" s="288"/>
      <c r="G10" s="288"/>
      <c r="H10" s="288"/>
      <c r="I10" s="288"/>
      <c r="J10" s="288"/>
      <c r="K10" s="288"/>
      <c r="L10" s="288"/>
      <c r="M10" s="288"/>
    </row>
    <row r="11" spans="1:19" s="155" customFormat="1" ht="17.399999999999999" customHeight="1" x14ac:dyDescent="0.35">
      <c r="A11" s="287" t="s">
        <v>225</v>
      </c>
      <c r="B11" s="288"/>
      <c r="C11" s="288"/>
      <c r="D11" s="288"/>
      <c r="E11" s="288"/>
      <c r="F11" s="288"/>
      <c r="G11" s="288"/>
      <c r="H11" s="288"/>
      <c r="I11" s="288"/>
      <c r="J11" s="288"/>
      <c r="K11" s="288"/>
      <c r="L11" s="288"/>
      <c r="M11" s="288"/>
    </row>
    <row r="12" spans="1:19" s="155" customFormat="1" ht="17.399999999999999" customHeight="1" x14ac:dyDescent="0.35">
      <c r="A12" s="287" t="s">
        <v>226</v>
      </c>
      <c r="B12" s="288"/>
      <c r="C12" s="288"/>
      <c r="D12" s="288"/>
      <c r="E12" s="288"/>
      <c r="F12" s="288"/>
      <c r="G12" s="288"/>
      <c r="H12" s="288"/>
      <c r="I12" s="288"/>
      <c r="J12" s="288"/>
      <c r="K12" s="288"/>
      <c r="L12" s="288"/>
      <c r="M12" s="288"/>
    </row>
    <row r="13" spans="1:19" ht="17.399999999999999" customHeight="1" x14ac:dyDescent="0.35">
      <c r="A13" s="114"/>
      <c r="B13" s="114"/>
      <c r="C13" s="114"/>
      <c r="D13" s="114"/>
      <c r="E13" s="114"/>
      <c r="F13" s="114"/>
      <c r="G13" s="114"/>
      <c r="H13" s="114"/>
      <c r="I13" s="114"/>
      <c r="J13" s="114"/>
      <c r="K13" s="114"/>
      <c r="L13" s="114"/>
      <c r="M13" s="114"/>
    </row>
    <row r="14" spans="1:19" ht="15" customHeight="1" x14ac:dyDescent="0.3">
      <c r="A14" s="115" t="s">
        <v>103</v>
      </c>
      <c r="B14" s="115"/>
      <c r="C14" s="115"/>
      <c r="D14" s="115"/>
      <c r="E14" s="115"/>
      <c r="F14" s="115"/>
      <c r="G14" s="115"/>
      <c r="H14" s="115"/>
      <c r="I14" s="116"/>
      <c r="J14" s="115"/>
      <c r="K14" s="115"/>
      <c r="L14" s="115"/>
      <c r="M14" s="115"/>
      <c r="S14" s="117"/>
    </row>
    <row r="15" spans="1:19" ht="15" customHeight="1" x14ac:dyDescent="0.3">
      <c r="B15" s="115" t="s">
        <v>104</v>
      </c>
      <c r="C15" s="118" t="s">
        <v>105</v>
      </c>
      <c r="D15" s="115" t="str">
        <f>'Isi Disini'!C9</f>
        <v xml:space="preserve">SYECH MUKHAMAR REZA KHARAMI, S.H. </v>
      </c>
      <c r="F15" s="115"/>
      <c r="G15" s="115"/>
      <c r="H15" s="115"/>
      <c r="I15" s="119"/>
      <c r="J15" s="115"/>
      <c r="K15" s="115"/>
      <c r="L15" s="115"/>
      <c r="M15" s="115"/>
    </row>
    <row r="16" spans="1:19" ht="15" customHeight="1" x14ac:dyDescent="0.3">
      <c r="B16" s="115" t="s">
        <v>106</v>
      </c>
      <c r="C16" s="118" t="s">
        <v>105</v>
      </c>
      <c r="D16" s="116" t="str">
        <f>'Isi Disini'!C10</f>
        <v>19840831 200312 1 001</v>
      </c>
      <c r="F16" s="115"/>
      <c r="G16" s="115"/>
      <c r="H16" s="115"/>
      <c r="I16" s="119"/>
      <c r="J16" s="115"/>
      <c r="K16" s="115"/>
      <c r="L16" s="115"/>
      <c r="M16" s="115"/>
    </row>
    <row r="17" spans="1:19" ht="15" customHeight="1" x14ac:dyDescent="0.3">
      <c r="B17" s="115" t="s">
        <v>107</v>
      </c>
      <c r="C17" s="118" t="s">
        <v>105</v>
      </c>
      <c r="D17" s="115" t="str">
        <f>'Isi Disini'!E9</f>
        <v>KASI REG, ADMINISTRASI &amp; PELAPORAN</v>
      </c>
      <c r="F17" s="115"/>
      <c r="G17" s="115"/>
      <c r="H17" s="115"/>
      <c r="I17" s="119"/>
      <c r="J17" s="115"/>
      <c r="K17" s="115"/>
      <c r="L17" s="115"/>
      <c r="M17" s="115"/>
    </row>
    <row r="18" spans="1:19" ht="15" customHeight="1" x14ac:dyDescent="0.3">
      <c r="A18" s="115"/>
      <c r="B18" s="115"/>
      <c r="C18" s="118"/>
      <c r="D18" s="115"/>
      <c r="F18" s="115"/>
      <c r="G18" s="115"/>
      <c r="H18" s="115"/>
      <c r="I18" s="119"/>
      <c r="J18" s="115"/>
      <c r="K18" s="115"/>
      <c r="L18" s="115"/>
      <c r="M18" s="115"/>
    </row>
    <row r="19" spans="1:19" ht="15" customHeight="1" x14ac:dyDescent="0.3">
      <c r="A19" s="115" t="s">
        <v>108</v>
      </c>
      <c r="B19" s="115"/>
      <c r="C19" s="118"/>
      <c r="D19" s="115"/>
      <c r="F19" s="115"/>
      <c r="G19" s="115"/>
      <c r="H19" s="115"/>
      <c r="I19" s="119"/>
      <c r="J19" s="115"/>
      <c r="K19" s="115"/>
      <c r="L19" s="115"/>
      <c r="M19" s="115"/>
      <c r="O19" s="119" t="s">
        <v>109</v>
      </c>
    </row>
    <row r="20" spans="1:19" ht="15" customHeight="1" x14ac:dyDescent="0.3">
      <c r="A20" s="115"/>
      <c r="B20" s="115" t="s">
        <v>110</v>
      </c>
      <c r="C20" s="118" t="s">
        <v>105</v>
      </c>
      <c r="D20" s="119" t="str">
        <f>'Isi Disini'!Q3</f>
        <v>5 Mei 2026</v>
      </c>
      <c r="F20" s="120"/>
      <c r="G20" s="115"/>
      <c r="H20" s="115"/>
      <c r="I20" s="119"/>
      <c r="J20" s="115"/>
      <c r="K20" s="115"/>
      <c r="L20" s="115"/>
      <c r="M20" s="115"/>
      <c r="O20" s="115" t="s">
        <v>111</v>
      </c>
      <c r="S20" s="113" t="s">
        <v>88</v>
      </c>
    </row>
    <row r="21" spans="1:19" ht="15" customHeight="1" x14ac:dyDescent="0.3">
      <c r="A21" s="115"/>
      <c r="B21" s="115" t="s">
        <v>112</v>
      </c>
      <c r="C21" s="118" t="s">
        <v>105</v>
      </c>
      <c r="D21" s="115" t="str">
        <f>'Isi Disini'!M3</f>
        <v>WIM.16.IMI.1-TI.04.01- 2438</v>
      </c>
      <c r="F21" s="120"/>
      <c r="G21" s="115"/>
      <c r="H21" s="115"/>
      <c r="I21" s="119"/>
      <c r="J21" s="115"/>
      <c r="K21" s="115"/>
      <c r="L21" s="115"/>
      <c r="M21" s="115"/>
    </row>
    <row r="22" spans="1:19" ht="8.4" customHeight="1" x14ac:dyDescent="0.3">
      <c r="A22" s="115"/>
      <c r="B22" s="115"/>
      <c r="C22" s="115"/>
      <c r="D22" s="120"/>
      <c r="F22" s="120"/>
      <c r="G22" s="115"/>
      <c r="H22" s="115"/>
      <c r="I22" s="119"/>
      <c r="J22" s="115"/>
      <c r="K22" s="115"/>
      <c r="L22" s="115"/>
      <c r="M22" s="115"/>
    </row>
    <row r="23" spans="1:19" ht="15" customHeight="1" x14ac:dyDescent="0.3">
      <c r="A23" s="115" t="s">
        <v>113</v>
      </c>
      <c r="B23" s="115"/>
      <c r="C23" s="115"/>
      <c r="D23" s="115"/>
      <c r="E23" s="115"/>
      <c r="F23" s="115"/>
      <c r="G23" s="115"/>
      <c r="H23" s="115"/>
      <c r="I23" s="119"/>
      <c r="J23" s="115"/>
      <c r="K23" s="115"/>
      <c r="L23" s="115"/>
      <c r="M23" s="115"/>
    </row>
    <row r="24" spans="1:19" ht="15" customHeight="1" x14ac:dyDescent="0.3">
      <c r="A24" s="121" t="s">
        <v>114</v>
      </c>
      <c r="B24" s="122" t="s">
        <v>227</v>
      </c>
      <c r="C24" s="115"/>
      <c r="D24" s="115"/>
      <c r="E24" s="115"/>
      <c r="F24" s="115"/>
      <c r="G24" s="115"/>
      <c r="H24" s="115"/>
      <c r="I24" s="119"/>
      <c r="J24" s="115"/>
      <c r="K24" s="115"/>
      <c r="L24" s="115"/>
      <c r="M24" s="115"/>
      <c r="O24" s="173" t="s">
        <v>136</v>
      </c>
      <c r="P24" s="174" t="s">
        <v>137</v>
      </c>
      <c r="Q24" s="175"/>
    </row>
    <row r="25" spans="1:19" ht="6.9" customHeight="1" thickBot="1" x14ac:dyDescent="0.35">
      <c r="A25" s="121"/>
      <c r="B25" s="122"/>
      <c r="C25" s="115"/>
      <c r="D25" s="115"/>
      <c r="E25" s="115"/>
      <c r="F25" s="115"/>
      <c r="G25" s="115"/>
      <c r="H25" s="115"/>
      <c r="I25" s="119"/>
      <c r="J25" s="115"/>
      <c r="K25" s="115"/>
      <c r="L25" s="115"/>
      <c r="M25" s="115"/>
    </row>
    <row r="26" spans="1:19" ht="24" customHeight="1" thickBot="1" x14ac:dyDescent="0.4">
      <c r="A26" s="123" t="s">
        <v>116</v>
      </c>
      <c r="B26" s="278" t="s">
        <v>117</v>
      </c>
      <c r="C26" s="279"/>
      <c r="D26" s="279"/>
      <c r="E26" s="279"/>
      <c r="F26" s="279"/>
      <c r="G26" s="279"/>
      <c r="H26" s="279"/>
      <c r="I26" s="280"/>
      <c r="J26" s="292" t="s">
        <v>118</v>
      </c>
      <c r="K26" s="279"/>
      <c r="L26" s="280"/>
      <c r="M26" s="124" t="s">
        <v>119</v>
      </c>
      <c r="Q26" s="125" t="s">
        <v>120</v>
      </c>
    </row>
    <row r="27" spans="1:19" ht="15.65" customHeight="1" thickTop="1" x14ac:dyDescent="0.3">
      <c r="A27" s="126"/>
      <c r="B27" s="127"/>
      <c r="C27" s="128"/>
      <c r="D27" s="128"/>
      <c r="E27" s="128"/>
      <c r="F27" s="128"/>
      <c r="G27" s="128"/>
      <c r="H27" s="128"/>
      <c r="I27" s="128"/>
      <c r="J27" s="127"/>
      <c r="K27" s="128"/>
      <c r="L27" s="129"/>
      <c r="M27" s="130"/>
      <c r="Q27" s="125" t="s">
        <v>121</v>
      </c>
    </row>
    <row r="28" spans="1:19" ht="15.65" customHeight="1" x14ac:dyDescent="0.35">
      <c r="A28" s="131" t="s">
        <v>122</v>
      </c>
      <c r="B28" s="125" t="s">
        <v>228</v>
      </c>
      <c r="C28" s="115"/>
      <c r="D28" s="115"/>
      <c r="E28" s="115"/>
      <c r="F28" s="115"/>
      <c r="G28" s="115"/>
      <c r="H28" s="115"/>
      <c r="I28" s="115"/>
      <c r="J28" s="286">
        <f>C30*F30*I30</f>
        <v>3000000</v>
      </c>
      <c r="K28" s="274"/>
      <c r="L28" s="236"/>
      <c r="M28" s="283" t="str">
        <f>Q35</f>
        <v>Biaya Pengamatan/Penyusupan/ Penyurupan/Penelitian/Penjejakan</v>
      </c>
      <c r="O28" s="271" t="s">
        <v>124</v>
      </c>
      <c r="Q28" s="125" t="s">
        <v>125</v>
      </c>
    </row>
    <row r="29" spans="1:19" ht="15" customHeight="1" x14ac:dyDescent="0.35">
      <c r="A29" s="131"/>
      <c r="B29" s="125" t="s">
        <v>126</v>
      </c>
      <c r="C29" s="273" t="str">
        <f>'Isi Disini'!E4</f>
        <v>Tanggal 6 sd 8 Mei 2026</v>
      </c>
      <c r="D29" s="274"/>
      <c r="E29" s="274"/>
      <c r="F29" s="274"/>
      <c r="G29" s="274"/>
      <c r="H29" s="274"/>
      <c r="I29" s="236"/>
      <c r="J29" s="125"/>
      <c r="K29" s="115"/>
      <c r="L29" s="132"/>
      <c r="M29" s="272"/>
      <c r="O29" s="272"/>
      <c r="Q29" s="125" t="s">
        <v>123</v>
      </c>
    </row>
    <row r="30" spans="1:19" ht="15" customHeight="1" x14ac:dyDescent="0.3">
      <c r="A30" s="133"/>
      <c r="B30" s="125"/>
      <c r="C30" s="134">
        <v>1</v>
      </c>
      <c r="D30" s="134" t="s">
        <v>229</v>
      </c>
      <c r="E30" s="134" t="s">
        <v>128</v>
      </c>
      <c r="F30" s="134">
        <v>1</v>
      </c>
      <c r="G30" s="134" t="s">
        <v>135</v>
      </c>
      <c r="H30" s="134" t="s">
        <v>128</v>
      </c>
      <c r="I30" s="135">
        <v>3000000</v>
      </c>
      <c r="J30" s="125"/>
      <c r="K30" s="115"/>
      <c r="L30" s="132"/>
      <c r="M30" s="272"/>
      <c r="O30" s="272"/>
      <c r="Q30" s="125" t="s">
        <v>130</v>
      </c>
    </row>
    <row r="31" spans="1:19" ht="15.65" customHeight="1" thickBot="1" x14ac:dyDescent="0.35">
      <c r="A31" s="166"/>
      <c r="B31" s="160"/>
      <c r="C31" s="161"/>
      <c r="D31" s="161"/>
      <c r="E31" s="161"/>
      <c r="F31" s="161"/>
      <c r="G31" s="161"/>
      <c r="H31" s="161"/>
      <c r="I31" s="162"/>
      <c r="J31" s="163"/>
      <c r="K31" s="164"/>
      <c r="L31" s="165"/>
      <c r="M31" s="272"/>
      <c r="O31" s="158"/>
      <c r="Q31" s="115"/>
    </row>
    <row r="32" spans="1:19" ht="39" customHeight="1" thickBot="1" x14ac:dyDescent="0.4">
      <c r="A32" s="136" t="s">
        <v>88</v>
      </c>
      <c r="B32" s="275" t="s">
        <v>63</v>
      </c>
      <c r="C32" s="276"/>
      <c r="D32" s="276"/>
      <c r="E32" s="276"/>
      <c r="F32" s="276"/>
      <c r="G32" s="276"/>
      <c r="H32" s="276"/>
      <c r="I32" s="277"/>
      <c r="J32" s="291">
        <f>SUM(J27:L31)</f>
        <v>3000000</v>
      </c>
      <c r="K32" s="276"/>
      <c r="L32" s="277"/>
      <c r="M32" s="137" t="e">
        <f ca="1">PROPER([1]!terbilang(J32)&amp;" rupiah")</f>
        <v>#NAME?</v>
      </c>
      <c r="O32" s="283" t="s">
        <v>138</v>
      </c>
      <c r="Q32" s="156" t="s">
        <v>139</v>
      </c>
    </row>
    <row r="33" spans="1:17" ht="15" customHeight="1" x14ac:dyDescent="0.3">
      <c r="A33" s="138"/>
      <c r="B33" s="139"/>
      <c r="C33" s="139"/>
      <c r="D33" s="139"/>
      <c r="E33" s="139"/>
      <c r="F33" s="139"/>
      <c r="G33" s="139"/>
      <c r="H33" s="139"/>
      <c r="I33" s="139"/>
      <c r="J33" s="140"/>
      <c r="K33" s="140"/>
      <c r="L33" s="140"/>
      <c r="M33" s="138"/>
      <c r="O33" s="272"/>
      <c r="Q33" s="156"/>
    </row>
    <row r="34" spans="1:17" ht="15" customHeight="1" x14ac:dyDescent="0.3">
      <c r="A34" s="116" t="s">
        <v>140</v>
      </c>
      <c r="B34" s="115" t="s">
        <v>141</v>
      </c>
      <c r="C34" s="115"/>
      <c r="D34" s="115"/>
      <c r="E34" s="115"/>
      <c r="F34" s="115"/>
      <c r="G34" s="115"/>
      <c r="H34" s="115"/>
      <c r="I34" s="115"/>
      <c r="J34" s="115"/>
      <c r="K34" s="115"/>
      <c r="L34" s="115"/>
      <c r="M34" s="115"/>
      <c r="O34" s="272"/>
      <c r="Q34" s="156"/>
    </row>
    <row r="35" spans="1:17" ht="15" customHeight="1" x14ac:dyDescent="0.3">
      <c r="A35" s="115"/>
      <c r="B35" s="115" t="s">
        <v>142</v>
      </c>
      <c r="C35" s="115"/>
      <c r="D35" s="115"/>
      <c r="E35" s="115"/>
      <c r="F35" s="115"/>
      <c r="G35" s="115"/>
      <c r="H35" s="115"/>
      <c r="I35" s="115"/>
      <c r="J35" s="115"/>
      <c r="K35" s="115"/>
      <c r="L35" s="115"/>
      <c r="M35" s="115"/>
      <c r="Q35" s="157" t="s">
        <v>143</v>
      </c>
    </row>
    <row r="36" spans="1:17" ht="15" customHeight="1" x14ac:dyDescent="0.3">
      <c r="A36" s="115"/>
      <c r="B36" s="115" t="s">
        <v>144</v>
      </c>
      <c r="C36" s="115"/>
      <c r="D36" s="115"/>
      <c r="E36" s="115"/>
      <c r="F36" s="115"/>
      <c r="G36" s="115"/>
      <c r="H36" s="115"/>
      <c r="I36" s="115"/>
      <c r="J36" s="115"/>
      <c r="K36" s="115"/>
      <c r="L36" s="115"/>
      <c r="M36" s="115"/>
    </row>
    <row r="37" spans="1:17" ht="15" customHeight="1" x14ac:dyDescent="0.3">
      <c r="A37" s="115"/>
      <c r="B37" s="115"/>
      <c r="C37" s="115"/>
      <c r="D37" s="115"/>
      <c r="E37" s="115"/>
      <c r="F37" s="115"/>
      <c r="G37" s="115"/>
      <c r="H37" s="115"/>
      <c r="I37" s="115"/>
      <c r="J37" s="115"/>
      <c r="K37" s="115"/>
      <c r="L37" s="115"/>
      <c r="M37" s="115"/>
    </row>
    <row r="38" spans="1:17" ht="15" customHeight="1" x14ac:dyDescent="0.3">
      <c r="A38" s="115"/>
      <c r="B38" s="115" t="s">
        <v>145</v>
      </c>
      <c r="C38" s="115"/>
      <c r="D38" s="115"/>
      <c r="E38" s="115"/>
      <c r="F38" s="115"/>
      <c r="G38" s="115"/>
      <c r="H38" s="115"/>
      <c r="I38" s="115"/>
      <c r="J38" s="115"/>
      <c r="K38" s="115"/>
      <c r="L38" s="115"/>
      <c r="M38" s="115"/>
    </row>
    <row r="39" spans="1:17" ht="15" customHeight="1" x14ac:dyDescent="0.3">
      <c r="A39" s="115"/>
      <c r="B39" s="115"/>
      <c r="C39" s="115"/>
      <c r="D39" s="115"/>
      <c r="E39" s="115"/>
      <c r="F39" s="115"/>
      <c r="G39" s="115"/>
      <c r="H39" s="115"/>
      <c r="I39" s="115"/>
      <c r="J39" s="115"/>
      <c r="K39" s="115"/>
      <c r="L39" s="115"/>
      <c r="M39" s="115"/>
    </row>
    <row r="40" spans="1:17" ht="15" customHeight="1" x14ac:dyDescent="0.3">
      <c r="A40" s="115"/>
      <c r="B40" s="115"/>
      <c r="C40" s="115"/>
      <c r="D40" s="115"/>
      <c r="E40" s="115"/>
      <c r="F40" s="115"/>
      <c r="G40" s="115"/>
      <c r="H40" s="115"/>
      <c r="I40" s="115"/>
      <c r="J40" s="115"/>
      <c r="K40" s="115"/>
      <c r="L40" s="115"/>
      <c r="M40" s="115"/>
    </row>
    <row r="41" spans="1:17" ht="15" customHeight="1" x14ac:dyDescent="0.3">
      <c r="A41" s="115"/>
      <c r="B41" s="115"/>
      <c r="C41" s="115"/>
      <c r="D41" s="115"/>
      <c r="E41" s="115"/>
      <c r="F41" s="115"/>
      <c r="G41" s="115"/>
      <c r="H41" s="115"/>
      <c r="I41" s="115"/>
      <c r="J41" s="115" t="str">
        <f>'Isi Disini'!W37</f>
        <v>Pontianak,</v>
      </c>
      <c r="K41" s="115"/>
      <c r="M41" s="115"/>
    </row>
    <row r="42" spans="1:17" ht="15" customHeight="1" x14ac:dyDescent="0.3">
      <c r="A42" s="115"/>
      <c r="B42" s="115" t="s">
        <v>146</v>
      </c>
      <c r="C42" s="115"/>
      <c r="D42" s="115"/>
      <c r="E42" s="115"/>
      <c r="F42" s="115"/>
      <c r="G42" s="115"/>
      <c r="H42" s="115"/>
      <c r="I42" s="115"/>
      <c r="J42" s="115" t="s">
        <v>147</v>
      </c>
      <c r="K42" s="115"/>
      <c r="M42" s="119"/>
    </row>
    <row r="43" spans="1:17" ht="15" customHeight="1" x14ac:dyDescent="0.3">
      <c r="A43" s="115"/>
      <c r="B43" s="141" t="s">
        <v>148</v>
      </c>
      <c r="C43" s="141"/>
      <c r="D43" s="141"/>
      <c r="E43" s="141"/>
      <c r="F43" s="115"/>
      <c r="G43" s="115"/>
      <c r="H43" s="115"/>
      <c r="I43" s="115"/>
      <c r="J43" s="115" t="str">
        <f>D17</f>
        <v>KASI REG, ADMINISTRASI &amp; PELAPORAN</v>
      </c>
      <c r="K43" s="115"/>
      <c r="M43" s="115"/>
    </row>
    <row r="44" spans="1:17" ht="15" customHeight="1" x14ac:dyDescent="0.3">
      <c r="A44" s="115"/>
      <c r="B44" s="115"/>
      <c r="C44" s="115"/>
      <c r="D44" s="115"/>
      <c r="E44" s="115"/>
      <c r="F44" s="115"/>
      <c r="G44" s="115"/>
      <c r="H44" s="115"/>
      <c r="I44" s="115"/>
      <c r="J44" s="115"/>
      <c r="K44" s="115"/>
      <c r="L44" s="115"/>
      <c r="M44" s="115"/>
    </row>
    <row r="45" spans="1:17" ht="15" customHeight="1" x14ac:dyDescent="0.3">
      <c r="A45" s="115"/>
      <c r="B45" s="115"/>
      <c r="C45" s="115"/>
      <c r="D45" s="115"/>
      <c r="E45" s="115"/>
      <c r="F45" s="115"/>
      <c r="G45" s="115"/>
      <c r="H45" s="115"/>
      <c r="I45" s="115"/>
      <c r="J45" s="115"/>
      <c r="K45" s="115"/>
      <c r="L45" s="115"/>
      <c r="M45" s="115"/>
    </row>
    <row r="46" spans="1:17" ht="15" customHeight="1" x14ac:dyDescent="0.3">
      <c r="A46" s="115"/>
      <c r="B46" s="115"/>
      <c r="C46" s="115"/>
      <c r="D46" s="115"/>
      <c r="E46" s="115"/>
      <c r="F46" s="115"/>
      <c r="G46" s="115"/>
      <c r="H46" s="115"/>
      <c r="I46" s="115"/>
      <c r="J46" s="115"/>
      <c r="K46" s="115"/>
      <c r="L46" s="115"/>
      <c r="M46" s="115"/>
    </row>
    <row r="47" spans="1:17" ht="15" customHeight="1" x14ac:dyDescent="0.3">
      <c r="A47" s="115"/>
      <c r="B47" s="115"/>
      <c r="C47" s="115"/>
      <c r="D47" s="115"/>
      <c r="E47" s="115"/>
      <c r="F47" s="115"/>
      <c r="G47" s="115"/>
      <c r="H47" s="115"/>
      <c r="I47" s="115"/>
      <c r="J47" s="115" t="str">
        <f>'Isi Disini'!W44</f>
        <v xml:space="preserve">MUHAMMAD REZA, S.H. </v>
      </c>
      <c r="K47" s="115"/>
      <c r="L47" s="115"/>
      <c r="M47" s="115"/>
    </row>
    <row r="48" spans="1:17" ht="15" customHeight="1" x14ac:dyDescent="0.3">
      <c r="A48" s="115"/>
      <c r="B48" s="115" t="s">
        <v>149</v>
      </c>
      <c r="C48" s="141"/>
      <c r="D48" s="141"/>
      <c r="E48" s="141"/>
      <c r="F48" s="141"/>
      <c r="G48" s="141"/>
      <c r="H48" s="141"/>
      <c r="I48" s="141"/>
      <c r="J48" s="115" t="str">
        <f>'Isi Disini'!W45</f>
        <v>NIP. 19840124 200212 1 002</v>
      </c>
      <c r="K48" s="141"/>
      <c r="M48" s="142"/>
    </row>
    <row r="49" spans="1:13" ht="15" customHeight="1" x14ac:dyDescent="0.3">
      <c r="A49" s="115"/>
      <c r="B49" s="141" t="s">
        <v>150</v>
      </c>
      <c r="C49" s="143"/>
      <c r="D49" s="143"/>
      <c r="E49" s="143"/>
      <c r="F49" s="143"/>
      <c r="G49" s="143"/>
      <c r="H49" s="143"/>
      <c r="I49" s="143"/>
      <c r="J49" s="143" t="s">
        <v>151</v>
      </c>
      <c r="K49" s="143"/>
      <c r="L49" s="115" t="str">
        <f>D16</f>
        <v>19840831 200312 1 001</v>
      </c>
      <c r="M49" s="143"/>
    </row>
  </sheetData>
  <mergeCells count="21">
    <mergeCell ref="J32:L32"/>
    <mergeCell ref="C1:M1"/>
    <mergeCell ref="A9:M9"/>
    <mergeCell ref="O28:O30"/>
    <mergeCell ref="A11:M11"/>
    <mergeCell ref="M28:M31"/>
    <mergeCell ref="C2:M2"/>
    <mergeCell ref="C29:I29"/>
    <mergeCell ref="A7:M7"/>
    <mergeCell ref="J28:L28"/>
    <mergeCell ref="A12:M12"/>
    <mergeCell ref="O32:O34"/>
    <mergeCell ref="B32:I32"/>
    <mergeCell ref="B26:I26"/>
    <mergeCell ref="C3:M3"/>
    <mergeCell ref="C6:M6"/>
    <mergeCell ref="A8:M8"/>
    <mergeCell ref="C5:M5"/>
    <mergeCell ref="J26:L26"/>
    <mergeCell ref="A10:M10"/>
    <mergeCell ref="C4:M4"/>
  </mergeCells>
  <hyperlinks>
    <hyperlink ref="A1" location="'MENU'!A1" display="&lt;&lt; MENU" xr:uid="{00000000-0004-0000-0E00-000000000000}"/>
  </hyperlinks>
  <printOptions horizontalCentered="1"/>
  <pageMargins left="0.19685039370078741" right="0.15748031496062989" top="0.47244094488188981" bottom="0.74803149606299213" header="0.23622047244094491" footer="0.31496062992125978"/>
  <pageSetup paperSize="9" scale="79" orientation="portrait" horizontalDpi="360" verticalDpi="36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0D8FD-077D-47E5-AD54-659D81E5909E}">
  <sheetPr codeName="Sheet16"/>
  <dimension ref="A1:E71"/>
  <sheetViews>
    <sheetView workbookViewId="0">
      <selection activeCell="K3" sqref="K3"/>
    </sheetView>
  </sheetViews>
  <sheetFormatPr defaultRowHeight="14.5" x14ac:dyDescent="0.35"/>
  <sheetData>
    <row r="1" spans="1:5" ht="57.5" x14ac:dyDescent="0.35">
      <c r="A1" s="194">
        <v>1</v>
      </c>
      <c r="B1" s="195" t="s">
        <v>230</v>
      </c>
      <c r="C1" s="196" t="s">
        <v>231</v>
      </c>
      <c r="D1" s="194" t="s">
        <v>232</v>
      </c>
      <c r="E1" s="194" t="s">
        <v>233</v>
      </c>
    </row>
    <row r="2" spans="1:5" ht="57.5" x14ac:dyDescent="0.35">
      <c r="A2" s="194">
        <v>2</v>
      </c>
      <c r="B2" s="195" t="s">
        <v>234</v>
      </c>
      <c r="C2" s="196" t="s">
        <v>235</v>
      </c>
      <c r="D2" s="194" t="s">
        <v>232</v>
      </c>
      <c r="E2" s="194" t="s">
        <v>236</v>
      </c>
    </row>
    <row r="3" spans="1:5" ht="57.5" x14ac:dyDescent="0.35">
      <c r="A3" s="194">
        <v>3</v>
      </c>
      <c r="B3" s="195" t="s">
        <v>237</v>
      </c>
      <c r="C3" s="196" t="s">
        <v>238</v>
      </c>
      <c r="D3" s="194" t="s">
        <v>232</v>
      </c>
      <c r="E3" s="194" t="s">
        <v>239</v>
      </c>
    </row>
    <row r="4" spans="1:5" ht="57.5" x14ac:dyDescent="0.35">
      <c r="A4" s="194">
        <v>4</v>
      </c>
      <c r="B4" s="195" t="s">
        <v>240</v>
      </c>
      <c r="C4" s="196" t="s">
        <v>241</v>
      </c>
      <c r="D4" s="194" t="s">
        <v>242</v>
      </c>
      <c r="E4" s="194" t="s">
        <v>243</v>
      </c>
    </row>
    <row r="5" spans="1:5" ht="57.5" x14ac:dyDescent="0.35">
      <c r="A5" s="194">
        <v>5</v>
      </c>
      <c r="B5" s="195" t="s">
        <v>244</v>
      </c>
      <c r="C5" s="196" t="s">
        <v>245</v>
      </c>
      <c r="D5" s="194" t="s">
        <v>242</v>
      </c>
      <c r="E5" s="194" t="s">
        <v>246</v>
      </c>
    </row>
    <row r="6" spans="1:5" ht="34.5" x14ac:dyDescent="0.35">
      <c r="A6" s="194">
        <v>6</v>
      </c>
      <c r="B6" s="195" t="s">
        <v>247</v>
      </c>
      <c r="C6" s="196" t="s">
        <v>248</v>
      </c>
      <c r="D6" s="194" t="s">
        <v>232</v>
      </c>
      <c r="E6" s="194" t="s">
        <v>249</v>
      </c>
    </row>
    <row r="7" spans="1:5" ht="34.5" x14ac:dyDescent="0.35">
      <c r="A7" s="194">
        <v>7</v>
      </c>
      <c r="B7" s="195" t="s">
        <v>250</v>
      </c>
      <c r="C7" s="196" t="s">
        <v>251</v>
      </c>
      <c r="D7" s="194" t="s">
        <v>232</v>
      </c>
      <c r="E7" s="194" t="s">
        <v>252</v>
      </c>
    </row>
    <row r="8" spans="1:5" ht="34.5" x14ac:dyDescent="0.35">
      <c r="A8" s="194">
        <v>8</v>
      </c>
      <c r="B8" s="195" t="s">
        <v>253</v>
      </c>
      <c r="C8" s="196" t="s">
        <v>254</v>
      </c>
      <c r="D8" s="194" t="s">
        <v>255</v>
      </c>
      <c r="E8" s="194" t="s">
        <v>256</v>
      </c>
    </row>
    <row r="9" spans="1:5" ht="69" x14ac:dyDescent="0.35">
      <c r="A9" s="194">
        <v>9</v>
      </c>
      <c r="B9" s="195" t="s">
        <v>257</v>
      </c>
      <c r="C9" s="196" t="s">
        <v>258</v>
      </c>
      <c r="D9" s="194" t="s">
        <v>259</v>
      </c>
      <c r="E9" s="194" t="s">
        <v>260</v>
      </c>
    </row>
    <row r="10" spans="1:5" ht="34.5" x14ac:dyDescent="0.35">
      <c r="A10" s="194">
        <v>10</v>
      </c>
      <c r="B10" s="195" t="s">
        <v>261</v>
      </c>
      <c r="C10" s="196" t="s">
        <v>262</v>
      </c>
      <c r="D10" s="194" t="s">
        <v>259</v>
      </c>
      <c r="E10" s="194" t="s">
        <v>263</v>
      </c>
    </row>
    <row r="11" spans="1:5" ht="34.5" x14ac:dyDescent="0.35">
      <c r="A11" s="194">
        <v>11</v>
      </c>
      <c r="B11" s="195" t="s">
        <v>264</v>
      </c>
      <c r="C11" s="196" t="s">
        <v>265</v>
      </c>
      <c r="D11" s="194" t="s">
        <v>259</v>
      </c>
      <c r="E11" s="194" t="s">
        <v>266</v>
      </c>
    </row>
    <row r="12" spans="1:5" ht="46" x14ac:dyDescent="0.35">
      <c r="A12" s="194">
        <v>12</v>
      </c>
      <c r="B12" s="195" t="s">
        <v>267</v>
      </c>
      <c r="C12" s="196" t="s">
        <v>268</v>
      </c>
      <c r="D12" s="194" t="s">
        <v>269</v>
      </c>
      <c r="E12" s="194" t="s">
        <v>270</v>
      </c>
    </row>
    <row r="13" spans="1:5" ht="46" x14ac:dyDescent="0.35">
      <c r="A13" s="194">
        <v>13</v>
      </c>
      <c r="B13" s="195" t="s">
        <v>271</v>
      </c>
      <c r="C13" s="196" t="s">
        <v>272</v>
      </c>
      <c r="D13" s="194" t="s">
        <v>269</v>
      </c>
      <c r="E13" s="194" t="s">
        <v>273</v>
      </c>
    </row>
    <row r="14" spans="1:5" ht="46" x14ac:dyDescent="0.35">
      <c r="A14" s="194">
        <v>14</v>
      </c>
      <c r="B14" s="195" t="s">
        <v>274</v>
      </c>
      <c r="C14" s="196" t="s">
        <v>275</v>
      </c>
      <c r="D14" s="194" t="s">
        <v>269</v>
      </c>
      <c r="E14" s="194" t="s">
        <v>276</v>
      </c>
    </row>
    <row r="15" spans="1:5" ht="69" x14ac:dyDescent="0.35">
      <c r="A15" s="194">
        <v>15</v>
      </c>
      <c r="B15" s="195" t="s">
        <v>277</v>
      </c>
      <c r="C15" s="196" t="s">
        <v>278</v>
      </c>
      <c r="D15" s="194" t="s">
        <v>232</v>
      </c>
      <c r="E15" s="197" t="s">
        <v>279</v>
      </c>
    </row>
    <row r="16" spans="1:5" ht="149.5" x14ac:dyDescent="0.35">
      <c r="A16" s="194">
        <v>16</v>
      </c>
      <c r="B16" s="195" t="s">
        <v>280</v>
      </c>
      <c r="C16" s="196" t="s">
        <v>281</v>
      </c>
      <c r="D16" s="194" t="s">
        <v>255</v>
      </c>
      <c r="E16" s="197" t="s">
        <v>282</v>
      </c>
    </row>
    <row r="17" spans="1:5" ht="69" x14ac:dyDescent="0.35">
      <c r="A17" s="194">
        <v>17</v>
      </c>
      <c r="B17" s="195" t="s">
        <v>283</v>
      </c>
      <c r="C17" s="196" t="s">
        <v>284</v>
      </c>
      <c r="D17" s="194" t="s">
        <v>232</v>
      </c>
      <c r="E17" s="194" t="s">
        <v>285</v>
      </c>
    </row>
    <row r="18" spans="1:5" ht="46" x14ac:dyDescent="0.35">
      <c r="A18" s="194">
        <v>18</v>
      </c>
      <c r="B18" s="195" t="s">
        <v>286</v>
      </c>
      <c r="C18" s="196" t="s">
        <v>287</v>
      </c>
      <c r="D18" s="194" t="s">
        <v>255</v>
      </c>
      <c r="E18" s="194" t="s">
        <v>288</v>
      </c>
    </row>
    <row r="19" spans="1:5" ht="69" x14ac:dyDescent="0.35">
      <c r="A19" s="194">
        <v>19</v>
      </c>
      <c r="B19" s="195" t="s">
        <v>289</v>
      </c>
      <c r="C19" s="196" t="s">
        <v>290</v>
      </c>
      <c r="D19" s="194" t="s">
        <v>242</v>
      </c>
      <c r="E19" s="194" t="s">
        <v>291</v>
      </c>
    </row>
    <row r="20" spans="1:5" ht="69" x14ac:dyDescent="0.35">
      <c r="A20" s="194">
        <v>20</v>
      </c>
      <c r="B20" s="195" t="s">
        <v>292</v>
      </c>
      <c r="C20" s="196" t="s">
        <v>293</v>
      </c>
      <c r="D20" s="194" t="s">
        <v>242</v>
      </c>
      <c r="E20" s="194" t="s">
        <v>294</v>
      </c>
    </row>
    <row r="21" spans="1:5" ht="69" x14ac:dyDescent="0.35">
      <c r="A21" s="194">
        <v>21</v>
      </c>
      <c r="B21" s="195" t="s">
        <v>295</v>
      </c>
      <c r="C21" s="196" t="s">
        <v>296</v>
      </c>
      <c r="D21" s="194" t="s">
        <v>259</v>
      </c>
      <c r="E21" s="194" t="s">
        <v>297</v>
      </c>
    </row>
    <row r="22" spans="1:5" ht="80.5" x14ac:dyDescent="0.35">
      <c r="A22" s="194">
        <v>22</v>
      </c>
      <c r="B22" s="195" t="s">
        <v>298</v>
      </c>
      <c r="C22" s="196" t="s">
        <v>299</v>
      </c>
      <c r="D22" s="194" t="s">
        <v>259</v>
      </c>
      <c r="E22" s="194" t="s">
        <v>300</v>
      </c>
    </row>
    <row r="23" spans="1:5" ht="46" x14ac:dyDescent="0.35">
      <c r="A23" s="194">
        <v>23</v>
      </c>
      <c r="B23" s="195" t="s">
        <v>301</v>
      </c>
      <c r="C23" s="196" t="s">
        <v>302</v>
      </c>
      <c r="D23" s="194" t="s">
        <v>259</v>
      </c>
      <c r="E23" s="194" t="s">
        <v>303</v>
      </c>
    </row>
    <row r="24" spans="1:5" ht="46" x14ac:dyDescent="0.35">
      <c r="A24" s="194">
        <v>24</v>
      </c>
      <c r="B24" s="195" t="s">
        <v>304</v>
      </c>
      <c r="C24" s="196" t="s">
        <v>305</v>
      </c>
      <c r="D24" s="194" t="s">
        <v>269</v>
      </c>
      <c r="E24" s="194" t="s">
        <v>306</v>
      </c>
    </row>
    <row r="25" spans="1:5" ht="69" x14ac:dyDescent="0.35">
      <c r="A25" s="194">
        <v>25</v>
      </c>
      <c r="B25" s="195" t="s">
        <v>307</v>
      </c>
      <c r="C25" s="196" t="s">
        <v>308</v>
      </c>
      <c r="D25" s="194" t="s">
        <v>309</v>
      </c>
      <c r="E25" s="194" t="s">
        <v>310</v>
      </c>
    </row>
    <row r="26" spans="1:5" ht="69" x14ac:dyDescent="0.35">
      <c r="A26" s="194">
        <v>26</v>
      </c>
      <c r="B26" s="195" t="s">
        <v>311</v>
      </c>
      <c r="C26" s="196" t="s">
        <v>312</v>
      </c>
      <c r="D26" s="194" t="s">
        <v>309</v>
      </c>
      <c r="E26" s="194" t="s">
        <v>310</v>
      </c>
    </row>
    <row r="27" spans="1:5" ht="46" x14ac:dyDescent="0.35">
      <c r="A27" s="194">
        <v>27</v>
      </c>
      <c r="B27" s="195" t="s">
        <v>313</v>
      </c>
      <c r="C27" s="196" t="s">
        <v>314</v>
      </c>
      <c r="D27" s="194" t="s">
        <v>309</v>
      </c>
      <c r="E27" s="194" t="s">
        <v>315</v>
      </c>
    </row>
    <row r="28" spans="1:5" ht="34.5" x14ac:dyDescent="0.35">
      <c r="A28" s="194">
        <v>28</v>
      </c>
      <c r="B28" s="195" t="s">
        <v>316</v>
      </c>
      <c r="C28" s="196" t="s">
        <v>317</v>
      </c>
      <c r="D28" s="194" t="s">
        <v>309</v>
      </c>
      <c r="E28" s="194" t="s">
        <v>318</v>
      </c>
    </row>
    <row r="29" spans="1:5" ht="57.5" x14ac:dyDescent="0.35">
      <c r="A29" s="194">
        <v>29</v>
      </c>
      <c r="B29" s="195" t="s">
        <v>319</v>
      </c>
      <c r="C29" s="196" t="s">
        <v>320</v>
      </c>
      <c r="D29" s="194" t="s">
        <v>309</v>
      </c>
      <c r="E29" s="194" t="s">
        <v>321</v>
      </c>
    </row>
    <row r="30" spans="1:5" ht="69" x14ac:dyDescent="0.35">
      <c r="A30" s="194">
        <v>30</v>
      </c>
      <c r="B30" s="195" t="s">
        <v>322</v>
      </c>
      <c r="C30" s="196" t="s">
        <v>323</v>
      </c>
      <c r="D30" s="194" t="s">
        <v>309</v>
      </c>
      <c r="E30" s="194" t="s">
        <v>324</v>
      </c>
    </row>
    <row r="31" spans="1:5" ht="46" x14ac:dyDescent="0.35">
      <c r="A31" s="194">
        <v>31</v>
      </c>
      <c r="B31" s="195" t="s">
        <v>325</v>
      </c>
      <c r="C31" s="196" t="s">
        <v>326</v>
      </c>
      <c r="D31" s="194" t="s">
        <v>309</v>
      </c>
      <c r="E31" s="194" t="s">
        <v>327</v>
      </c>
    </row>
    <row r="32" spans="1:5" ht="80.5" x14ac:dyDescent="0.35">
      <c r="A32" s="194">
        <v>32</v>
      </c>
      <c r="B32" s="195" t="s">
        <v>328</v>
      </c>
      <c r="C32" s="196" t="s">
        <v>329</v>
      </c>
      <c r="D32" s="194" t="s">
        <v>330</v>
      </c>
      <c r="E32" s="194" t="s">
        <v>300</v>
      </c>
    </row>
    <row r="33" spans="1:5" ht="46" x14ac:dyDescent="0.35">
      <c r="A33" s="194">
        <v>33</v>
      </c>
      <c r="B33" s="195" t="s">
        <v>331</v>
      </c>
      <c r="C33" s="196" t="s">
        <v>332</v>
      </c>
      <c r="D33" s="194" t="s">
        <v>330</v>
      </c>
      <c r="E33" s="194" t="s">
        <v>333</v>
      </c>
    </row>
    <row r="34" spans="1:5" ht="69" x14ac:dyDescent="0.35">
      <c r="A34" s="194">
        <v>34</v>
      </c>
      <c r="B34" s="195" t="s">
        <v>334</v>
      </c>
      <c r="C34" s="196" t="s">
        <v>335</v>
      </c>
      <c r="D34" s="194" t="s">
        <v>330</v>
      </c>
      <c r="E34" s="194" t="s">
        <v>294</v>
      </c>
    </row>
    <row r="35" spans="1:5" ht="57.5" x14ac:dyDescent="0.35">
      <c r="A35" s="194">
        <v>35</v>
      </c>
      <c r="B35" s="195" t="s">
        <v>336</v>
      </c>
      <c r="C35" s="196" t="s">
        <v>337</v>
      </c>
      <c r="D35" s="194" t="s">
        <v>330</v>
      </c>
      <c r="E35" s="194" t="s">
        <v>338</v>
      </c>
    </row>
    <row r="36" spans="1:5" ht="34.5" x14ac:dyDescent="0.35">
      <c r="A36" s="194">
        <v>36</v>
      </c>
      <c r="B36" s="195" t="s">
        <v>339</v>
      </c>
      <c r="C36" s="196" t="s">
        <v>340</v>
      </c>
      <c r="D36" s="194" t="s">
        <v>330</v>
      </c>
      <c r="E36" s="194" t="s">
        <v>306</v>
      </c>
    </row>
    <row r="37" spans="1:5" ht="46" x14ac:dyDescent="0.35">
      <c r="A37" s="194">
        <v>37</v>
      </c>
      <c r="B37" s="195" t="s">
        <v>341</v>
      </c>
      <c r="C37" s="196" t="s">
        <v>342</v>
      </c>
      <c r="D37" s="194" t="s">
        <v>330</v>
      </c>
      <c r="E37" s="194" t="s">
        <v>343</v>
      </c>
    </row>
    <row r="38" spans="1:5" ht="69" x14ac:dyDescent="0.35">
      <c r="A38" s="194">
        <v>38</v>
      </c>
      <c r="B38" s="195" t="s">
        <v>344</v>
      </c>
      <c r="C38" s="196" t="s">
        <v>345</v>
      </c>
      <c r="D38" s="194" t="s">
        <v>330</v>
      </c>
      <c r="E38" s="194" t="s">
        <v>346</v>
      </c>
    </row>
    <row r="39" spans="1:5" ht="46" x14ac:dyDescent="0.35">
      <c r="A39" s="194">
        <v>39</v>
      </c>
      <c r="B39" s="195" t="s">
        <v>347</v>
      </c>
      <c r="C39" s="196" t="s">
        <v>348</v>
      </c>
      <c r="D39" s="194" t="s">
        <v>349</v>
      </c>
      <c r="E39" s="194" t="s">
        <v>350</v>
      </c>
    </row>
    <row r="40" spans="1:5" ht="23" x14ac:dyDescent="0.35">
      <c r="A40" s="194">
        <v>40</v>
      </c>
      <c r="B40" s="195" t="s">
        <v>351</v>
      </c>
      <c r="C40" s="196" t="s">
        <v>352</v>
      </c>
      <c r="D40" s="194" t="s">
        <v>349</v>
      </c>
      <c r="E40" s="194" t="s">
        <v>353</v>
      </c>
    </row>
    <row r="41" spans="1:5" ht="46" x14ac:dyDescent="0.35">
      <c r="A41" s="194">
        <v>41</v>
      </c>
      <c r="B41" s="195" t="s">
        <v>354</v>
      </c>
      <c r="C41" s="196" t="s">
        <v>355</v>
      </c>
      <c r="D41" s="194" t="s">
        <v>356</v>
      </c>
      <c r="E41" s="194" t="s">
        <v>350</v>
      </c>
    </row>
    <row r="42" spans="1:5" ht="46" x14ac:dyDescent="0.35">
      <c r="A42" s="194">
        <v>42</v>
      </c>
      <c r="B42" s="195" t="s">
        <v>357</v>
      </c>
      <c r="C42" s="196" t="s">
        <v>358</v>
      </c>
      <c r="D42" s="194" t="s">
        <v>356</v>
      </c>
      <c r="E42" s="194" t="s">
        <v>350</v>
      </c>
    </row>
    <row r="43" spans="1:5" ht="69" x14ac:dyDescent="0.35">
      <c r="A43" s="194">
        <v>43</v>
      </c>
      <c r="B43" s="195" t="s">
        <v>359</v>
      </c>
      <c r="C43" s="196" t="s">
        <v>360</v>
      </c>
      <c r="D43" s="194" t="s">
        <v>356</v>
      </c>
      <c r="E43" s="194" t="s">
        <v>361</v>
      </c>
    </row>
    <row r="44" spans="1:5" ht="69" x14ac:dyDescent="0.35">
      <c r="A44" s="194">
        <v>44</v>
      </c>
      <c r="B44" s="195" t="s">
        <v>362</v>
      </c>
      <c r="C44" s="196" t="s">
        <v>363</v>
      </c>
      <c r="D44" s="194" t="s">
        <v>356</v>
      </c>
      <c r="E44" s="194" t="s">
        <v>364</v>
      </c>
    </row>
    <row r="45" spans="1:5" ht="57.5" x14ac:dyDescent="0.35">
      <c r="A45" s="194">
        <v>45</v>
      </c>
      <c r="B45" s="195" t="s">
        <v>365</v>
      </c>
      <c r="C45" s="196" t="s">
        <v>366</v>
      </c>
      <c r="D45" s="194" t="s">
        <v>356</v>
      </c>
      <c r="E45" s="194" t="s">
        <v>367</v>
      </c>
    </row>
    <row r="46" spans="1:5" ht="57.5" x14ac:dyDescent="0.35">
      <c r="A46" s="194">
        <v>46</v>
      </c>
      <c r="B46" s="195" t="s">
        <v>368</v>
      </c>
      <c r="C46" s="196" t="s">
        <v>369</v>
      </c>
      <c r="D46" s="194" t="s">
        <v>356</v>
      </c>
      <c r="E46" s="194" t="s">
        <v>370</v>
      </c>
    </row>
    <row r="47" spans="1:5" ht="46" x14ac:dyDescent="0.35">
      <c r="A47" s="194">
        <v>47</v>
      </c>
      <c r="B47" s="195" t="s">
        <v>371</v>
      </c>
      <c r="C47" s="196" t="s">
        <v>372</v>
      </c>
      <c r="D47" s="194" t="s">
        <v>356</v>
      </c>
      <c r="E47" s="194" t="s">
        <v>373</v>
      </c>
    </row>
    <row r="48" spans="1:5" ht="46" x14ac:dyDescent="0.35">
      <c r="A48" s="194">
        <v>48</v>
      </c>
      <c r="B48" s="195" t="s">
        <v>374</v>
      </c>
      <c r="C48" s="196" t="s">
        <v>375</v>
      </c>
      <c r="D48" s="194" t="s">
        <v>356</v>
      </c>
      <c r="E48" s="194" t="s">
        <v>373</v>
      </c>
    </row>
    <row r="49" spans="1:5" ht="69" x14ac:dyDescent="0.35">
      <c r="A49" s="194">
        <v>49</v>
      </c>
      <c r="B49" s="195" t="s">
        <v>376</v>
      </c>
      <c r="C49" s="196" t="s">
        <v>377</v>
      </c>
      <c r="D49" s="194" t="s">
        <v>356</v>
      </c>
      <c r="E49" s="194" t="s">
        <v>378</v>
      </c>
    </row>
    <row r="50" spans="1:5" ht="57.5" x14ac:dyDescent="0.35">
      <c r="A50" s="194">
        <v>50</v>
      </c>
      <c r="B50" s="195" t="s">
        <v>379</v>
      </c>
      <c r="C50" s="196" t="s">
        <v>380</v>
      </c>
      <c r="D50" s="194" t="s">
        <v>356</v>
      </c>
      <c r="E50" s="194" t="s">
        <v>381</v>
      </c>
    </row>
    <row r="51" spans="1:5" ht="46" x14ac:dyDescent="0.35">
      <c r="A51" s="194">
        <v>51</v>
      </c>
      <c r="B51" s="195" t="s">
        <v>382</v>
      </c>
      <c r="C51" s="196" t="s">
        <v>383</v>
      </c>
      <c r="D51" s="194" t="s">
        <v>356</v>
      </c>
      <c r="E51" s="194" t="s">
        <v>373</v>
      </c>
    </row>
    <row r="52" spans="1:5" ht="46" x14ac:dyDescent="0.35">
      <c r="A52" s="194">
        <v>52</v>
      </c>
      <c r="B52" s="195" t="s">
        <v>384</v>
      </c>
      <c r="C52" s="196" t="s">
        <v>385</v>
      </c>
      <c r="D52" s="194" t="s">
        <v>356</v>
      </c>
      <c r="E52" s="194" t="s">
        <v>373</v>
      </c>
    </row>
    <row r="53" spans="1:5" ht="46" x14ac:dyDescent="0.35">
      <c r="A53" s="194">
        <v>53</v>
      </c>
      <c r="B53" s="195" t="s">
        <v>386</v>
      </c>
      <c r="C53" s="196" t="s">
        <v>387</v>
      </c>
      <c r="D53" s="194" t="s">
        <v>356</v>
      </c>
      <c r="E53" s="194" t="s">
        <v>373</v>
      </c>
    </row>
    <row r="54" spans="1:5" ht="69" x14ac:dyDescent="0.35">
      <c r="A54" s="194">
        <v>54</v>
      </c>
      <c r="B54" s="195" t="s">
        <v>388</v>
      </c>
      <c r="C54" s="196" t="s">
        <v>389</v>
      </c>
      <c r="D54" s="194" t="s">
        <v>356</v>
      </c>
      <c r="E54" s="194" t="s">
        <v>346</v>
      </c>
    </row>
    <row r="55" spans="1:5" ht="46" x14ac:dyDescent="0.35">
      <c r="A55" s="194">
        <v>55</v>
      </c>
      <c r="B55" s="195" t="s">
        <v>390</v>
      </c>
      <c r="C55" s="196" t="s">
        <v>391</v>
      </c>
      <c r="D55" s="194" t="s">
        <v>356</v>
      </c>
      <c r="E55" s="194" t="s">
        <v>373</v>
      </c>
    </row>
    <row r="56" spans="1:5" ht="46" x14ac:dyDescent="0.35">
      <c r="A56" s="194">
        <v>56</v>
      </c>
      <c r="B56" s="195" t="s">
        <v>392</v>
      </c>
      <c r="C56" s="196" t="s">
        <v>393</v>
      </c>
      <c r="D56" s="194" t="s">
        <v>356</v>
      </c>
      <c r="E56" s="194" t="s">
        <v>373</v>
      </c>
    </row>
    <row r="57" spans="1:5" ht="46" x14ac:dyDescent="0.35">
      <c r="A57" s="194">
        <v>57</v>
      </c>
      <c r="B57" s="195" t="s">
        <v>394</v>
      </c>
      <c r="C57" s="196" t="s">
        <v>395</v>
      </c>
      <c r="D57" s="194" t="s">
        <v>356</v>
      </c>
      <c r="E57" s="194" t="s">
        <v>373</v>
      </c>
    </row>
    <row r="58" spans="1:5" ht="34.5" x14ac:dyDescent="0.35">
      <c r="A58" s="194">
        <v>58</v>
      </c>
      <c r="B58" s="195" t="s">
        <v>396</v>
      </c>
      <c r="C58" s="196" t="s">
        <v>397</v>
      </c>
      <c r="D58" s="194" t="s">
        <v>398</v>
      </c>
      <c r="E58" s="194" t="s">
        <v>399</v>
      </c>
    </row>
    <row r="59" spans="1:5" ht="34.5" x14ac:dyDescent="0.35">
      <c r="A59" s="194">
        <v>59</v>
      </c>
      <c r="B59" s="195" t="s">
        <v>400</v>
      </c>
      <c r="C59" s="196" t="s">
        <v>401</v>
      </c>
      <c r="D59" s="194" t="s">
        <v>398</v>
      </c>
      <c r="E59" s="194" t="s">
        <v>399</v>
      </c>
    </row>
    <row r="60" spans="1:5" ht="34.5" x14ac:dyDescent="0.35">
      <c r="A60" s="194">
        <v>60</v>
      </c>
      <c r="B60" s="195" t="s">
        <v>402</v>
      </c>
      <c r="C60" s="196" t="s">
        <v>403</v>
      </c>
      <c r="D60" s="194" t="s">
        <v>398</v>
      </c>
      <c r="E60" s="194" t="s">
        <v>399</v>
      </c>
    </row>
    <row r="61" spans="1:5" ht="34.5" x14ac:dyDescent="0.35">
      <c r="A61" s="194">
        <v>61</v>
      </c>
      <c r="B61" s="195" t="s">
        <v>404</v>
      </c>
      <c r="C61" s="196" t="s">
        <v>405</v>
      </c>
      <c r="D61" s="194" t="s">
        <v>398</v>
      </c>
      <c r="E61" s="194" t="s">
        <v>399</v>
      </c>
    </row>
    <row r="62" spans="1:5" ht="34.5" x14ac:dyDescent="0.35">
      <c r="A62" s="194">
        <v>62</v>
      </c>
      <c r="B62" s="195" t="s">
        <v>406</v>
      </c>
      <c r="C62" s="196" t="s">
        <v>407</v>
      </c>
      <c r="D62" s="194" t="s">
        <v>398</v>
      </c>
      <c r="E62" s="194" t="s">
        <v>399</v>
      </c>
    </row>
    <row r="63" spans="1:5" ht="34.5" x14ac:dyDescent="0.35">
      <c r="A63" s="194">
        <v>63</v>
      </c>
      <c r="B63" s="195" t="s">
        <v>408</v>
      </c>
      <c r="C63" s="196" t="s">
        <v>409</v>
      </c>
      <c r="D63" s="194" t="s">
        <v>398</v>
      </c>
      <c r="E63" s="194" t="s">
        <v>399</v>
      </c>
    </row>
    <row r="64" spans="1:5" ht="34.5" x14ac:dyDescent="0.35">
      <c r="A64" s="194">
        <v>64</v>
      </c>
      <c r="B64" s="195" t="s">
        <v>410</v>
      </c>
      <c r="C64" s="196" t="s">
        <v>411</v>
      </c>
      <c r="D64" s="194" t="s">
        <v>398</v>
      </c>
      <c r="E64" s="194" t="s">
        <v>399</v>
      </c>
    </row>
    <row r="65" spans="1:5" ht="34.5" x14ac:dyDescent="0.35">
      <c r="A65" s="194">
        <v>65</v>
      </c>
      <c r="B65" s="195" t="s">
        <v>412</v>
      </c>
      <c r="C65" s="196" t="s">
        <v>413</v>
      </c>
      <c r="D65" s="194" t="s">
        <v>398</v>
      </c>
      <c r="E65" s="194" t="s">
        <v>399</v>
      </c>
    </row>
    <row r="66" spans="1:5" ht="34.5" x14ac:dyDescent="0.35">
      <c r="A66" s="194">
        <v>66</v>
      </c>
      <c r="B66" s="195" t="s">
        <v>414</v>
      </c>
      <c r="C66" s="196" t="s">
        <v>415</v>
      </c>
      <c r="D66" s="194" t="s">
        <v>398</v>
      </c>
      <c r="E66" s="194" t="s">
        <v>399</v>
      </c>
    </row>
    <row r="67" spans="1:5" ht="34.5" x14ac:dyDescent="0.35">
      <c r="A67" s="194">
        <v>67</v>
      </c>
      <c r="B67" s="195" t="s">
        <v>416</v>
      </c>
      <c r="C67" s="196" t="s">
        <v>417</v>
      </c>
      <c r="D67" s="194" t="s">
        <v>398</v>
      </c>
      <c r="E67" s="194" t="s">
        <v>399</v>
      </c>
    </row>
    <row r="68" spans="1:5" ht="34.5" x14ac:dyDescent="0.35">
      <c r="A68" s="194">
        <v>68</v>
      </c>
      <c r="B68" s="195" t="s">
        <v>418</v>
      </c>
      <c r="C68" s="196" t="s">
        <v>419</v>
      </c>
      <c r="D68" s="194" t="s">
        <v>398</v>
      </c>
      <c r="E68" s="194" t="s">
        <v>399</v>
      </c>
    </row>
    <row r="69" spans="1:5" ht="34.5" x14ac:dyDescent="0.35">
      <c r="A69" s="194">
        <v>69</v>
      </c>
      <c r="B69" s="195" t="s">
        <v>420</v>
      </c>
      <c r="C69" s="196" t="s">
        <v>421</v>
      </c>
      <c r="D69" s="194" t="s">
        <v>398</v>
      </c>
      <c r="E69" s="194" t="s">
        <v>399</v>
      </c>
    </row>
    <row r="70" spans="1:5" ht="34.5" x14ac:dyDescent="0.35">
      <c r="A70" s="194">
        <v>70</v>
      </c>
      <c r="B70" s="195" t="s">
        <v>422</v>
      </c>
      <c r="C70" s="196" t="s">
        <v>423</v>
      </c>
      <c r="D70" s="194" t="s">
        <v>398</v>
      </c>
      <c r="E70" s="194" t="s">
        <v>399</v>
      </c>
    </row>
    <row r="71" spans="1:5" ht="34.5" x14ac:dyDescent="0.35">
      <c r="A71" s="194">
        <v>71</v>
      </c>
      <c r="B71" s="195" t="s">
        <v>424</v>
      </c>
      <c r="C71" s="196" t="s">
        <v>425</v>
      </c>
      <c r="D71" s="194" t="s">
        <v>398</v>
      </c>
      <c r="E71" s="194" t="s">
        <v>399</v>
      </c>
    </row>
  </sheetData>
  <hyperlinks>
    <hyperlink ref="B16" r:id="rId1" xr:uid="{83367598-BDF1-4CAB-9527-4791E2721A02}"/>
    <hyperlink ref="B18" r:id="rId2" display="WIRA PRATAMA ELVIRA PUTRI, S.ST. " xr:uid="{36D55355-5495-4800-80BF-3EAE6ED02CB4}"/>
    <hyperlink ref="B19" r:id="rId3" display="MUHAMMAD FAJAR WAHYUDI, A.Md. " xr:uid="{526F6326-7435-4898-A3B0-807F5C47D981}"/>
    <hyperlink ref="B26" r:id="rId4" xr:uid="{90A54FA5-B032-404A-8704-2C24F6282999}"/>
    <hyperlink ref="B27" r:id="rId5" xr:uid="{74293C38-576D-4459-98EC-FA06BBFF358D}"/>
    <hyperlink ref="B28" r:id="rId6" xr:uid="{9C1F9DF2-E211-40B9-BF40-3CAB93066251}"/>
    <hyperlink ref="B29" r:id="rId7" xr:uid="{D1081FBC-2FB0-4366-96D6-2E5DC625394F}"/>
    <hyperlink ref="B38" r:id="rId8" xr:uid="{C1BF2E4C-8B56-41BF-AE7F-5D2B23456C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14</vt:i4>
      </vt:variant>
    </vt:vector>
  </HeadingPairs>
  <TitlesOfParts>
    <vt:vector size="30" baseType="lpstr">
      <vt:lpstr>MENU</vt:lpstr>
      <vt:lpstr>Isi Disini</vt:lpstr>
      <vt:lpstr>DPR PIC</vt:lpstr>
      <vt:lpstr>Nominatif</vt:lpstr>
      <vt:lpstr>1</vt:lpstr>
      <vt:lpstr>2</vt:lpstr>
      <vt:lpstr>3</vt:lpstr>
      <vt:lpstr>4</vt:lpstr>
      <vt:lpstr>5</vt:lpstr>
      <vt:lpstr>6</vt:lpstr>
      <vt:lpstr>7</vt:lpstr>
      <vt:lpstr>8</vt:lpstr>
      <vt:lpstr>9</vt:lpstr>
      <vt:lpstr>10</vt:lpstr>
      <vt:lpstr>DPR PIC (2)</vt:lpstr>
      <vt:lpstr>nama pegawai</vt:lpstr>
      <vt:lpstr>'1'!Print_Area</vt:lpstr>
      <vt:lpstr>'10'!Print_Area</vt:lpstr>
      <vt:lpstr>'2'!Print_Area</vt:lpstr>
      <vt:lpstr>'3'!Print_Area</vt:lpstr>
      <vt:lpstr>'4'!Print_Area</vt:lpstr>
      <vt:lpstr>'5'!Print_Area</vt:lpstr>
      <vt:lpstr>'6'!Print_Area</vt:lpstr>
      <vt:lpstr>'7'!Print_Area</vt:lpstr>
      <vt:lpstr>'8'!Print_Area</vt:lpstr>
      <vt:lpstr>'9'!Print_Area</vt:lpstr>
      <vt:lpstr>'DPR PIC'!Print_Area</vt:lpstr>
      <vt:lpstr>'DPR PIC (2)'!Print_Area</vt:lpstr>
      <vt:lpstr>'Isi Disini'!Print_Area</vt:lpstr>
      <vt:lpstr>Nominatif!Print_Area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dc:creator>
  <cp:lastModifiedBy>rynjae</cp:lastModifiedBy>
  <cp:lastPrinted>2026-05-28T11:59:41Z</cp:lastPrinted>
  <dcterms:created xsi:type="dcterms:W3CDTF">2019-07-29T21:21:12Z</dcterms:created>
  <dcterms:modified xsi:type="dcterms:W3CDTF">2026-05-29T02:36:34Z</dcterms:modified>
</cp:coreProperties>
</file>